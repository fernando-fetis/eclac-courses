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opulation" sheetId="2" state="visible" r:id="rId4"/>
    <sheet name="Urbanization" sheetId="3" state="visible" r:id="rId5"/>
  </sheets>
  <definedNames>
    <definedName function="false" hidden="false" localSheetId="1" name="_xlnm.Print_Titles" vbProcedure="false">Population!$2:$2</definedName>
    <definedName function="false" hidden="true" localSheetId="1" name="_xlnm._FilterDatabase" vbProcedure="false">Population!$A$2:$AA$23</definedName>
    <definedName function="false" hidden="false" localSheetId="2" name="_xlnm.Print_Titles" vbProcedure="false">Urbanization!$2:$2</definedName>
    <definedName function="false" hidden="true" localSheetId="2" name="_xlnm._FilterDatabase" vbProcedure="false">Urbanization!$A$2:$AA$23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<sst xmlns="http://schemas.openxmlformats.org/spreadsheetml/2006/main" count="58" uniqueCount="35">
  <si>
    <t xml:space="preserve">Population</t>
  </si>
  <si>
    <t xml:space="preserve">Computed with formulas over the data sheets in this workbook.</t>
  </si>
  <si>
    <t xml:space="preserve">Sheet</t>
  </si>
  <si>
    <t xml:space="preserve">Data rows</t>
  </si>
  <si>
    <t xml:space="preserve">First year</t>
  </si>
  <si>
    <t xml:space="preserve">Last year</t>
  </si>
  <si>
    <t xml:space="preserve">Average, last year</t>
  </si>
  <si>
    <t xml:space="preserve">Minimum</t>
  </si>
  <si>
    <t xml:space="preserve">Maximum</t>
  </si>
  <si>
    <t xml:space="preserve">Urbanization</t>
  </si>
  <si>
    <t xml:space="preserve">Blank cells are series with no data for the last year in every country.</t>
  </si>
  <si>
    <t xml:space="preserve">Total population, thousands of inhabitants, mid year estimates</t>
  </si>
  <si>
    <t xml:space="preserve">Country</t>
  </si>
  <si>
    <t xml:space="preserve">Argentina</t>
  </si>
  <si>
    <t xml:space="preserve">Bolivia</t>
  </si>
  <si>
    <t xml:space="preserve">Brazil</t>
  </si>
  <si>
    <t xml:space="preserve">Chile</t>
  </si>
  <si>
    <t xml:space="preserve">Colombia</t>
  </si>
  <si>
    <t xml:space="preserve">Costa Rica</t>
  </si>
  <si>
    <t xml:space="preserve">Cuba</t>
  </si>
  <si>
    <t xml:space="preserve">Dominican Republic</t>
  </si>
  <si>
    <t xml:space="preserve">Ecuador</t>
  </si>
  <si>
    <t xml:space="preserve">El Salvador</t>
  </si>
  <si>
    <t xml:space="preserve">Guatemala</t>
  </si>
  <si>
    <t xml:space="preserve">Honduras</t>
  </si>
  <si>
    <t xml:space="preserve">Jamaica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</si>
  <si>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</si>
  <si>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</si>
  <si>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</si>
  <si>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</si>
  <si>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</si>
  <si>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Trinidad and Tobago</t>
  </si>
  <si>
    <t xml:space="preserve">Uruguay</t>
  </si>
  <si>
    <t xml:space="preserve">Venezuela</t>
  </si>
  <si>
    <t xml:space="preserve">Urban population as a proportion of total population (0 to 1)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</si>
</sst>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.00"/>
    <numFmt numFmtId="167" formatCode="#,##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24C7A"/>
      <name val="Calibri"/>
      <family val="0"/>
      <charset val="1"/>
    </font>
    <font>
      <i val="true"/>
      <sz val="10"/>
      <color rgb="FF44545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44545F"/>
      <name val="Calibri"/>
      <family val="0"/>
      <charset val="1"/>
    </font>
    <font>
      <b val="true"/>
      <sz val="14"/>
      <color rgb="FF024C7A"/>
      <name val="Calibri"/>
      <family val="0"/>
      <charset val="1"/>
    </font>
    <font>
      <sz val="10"/>
      <color rgb="FF1A253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36BAA"/>
        <bgColor rgb="FF008080"/>
      </patternFill>
    </fill>
    <fill>
      <patternFill patternType="solid">
        <fgColor rgb="FFEEF4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8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9">
    <dxf>
      <fill>
        <patternFill patternType="solid">
          <fgColor rgb="FF036BAA"/>
          <bgColor rgb="FF000000"/>
        </patternFill>
      </fill>
    </dxf>
    <dxf>
      <fill>
        <patternFill patternType="solid">
          <fgColor rgb="FFEEF4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25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DEF0"/>
          <bgColor rgb="FF000000"/>
        </patternFill>
      </fill>
    </dxf>
    <dxf>
      <fill>
        <patternFill patternType="solid">
          <fgColor rgb="FFDFEDF7"/>
          <bgColor rgb="FF000000"/>
        </patternFill>
      </fill>
    </dxf>
    <dxf>
      <fill>
        <patternFill patternType="solid">
          <fgColor rgb="FFF3F8FC"/>
          <bgColor rgb="FF000000"/>
        </patternFill>
      </fill>
    </dxf>
    <dxf>
      <fill>
        <patternFill patternType="solid">
          <fgColor rgb="FFF4F9FC"/>
          <bgColor rgb="FF000000"/>
        </patternFill>
      </fill>
    </dxf>
    <dxf>
      <fill>
        <patternFill patternType="solid">
          <fgColor rgb="FFF7FBFD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FBFDFE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CFDFF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FDFEFF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C6DEEF"/>
          <bgColor rgb="FF000000"/>
        </patternFill>
      </fill>
    </dxf>
    <dxf>
      <fill>
        <patternFill patternType="solid">
          <fgColor rgb="FFDFECF6"/>
          <bgColor rgb="FF000000"/>
        </patternFill>
      </fill>
    </dxf>
    <dxf>
      <fill>
        <patternFill patternType="solid">
          <fgColor rgb="FFC5DDEF"/>
          <bgColor rgb="FF000000"/>
        </patternFill>
      </fill>
    </dxf>
    <dxf>
      <fill>
        <patternFill patternType="solid">
          <fgColor rgb="FFDEECF6"/>
          <bgColor rgb="FF000000"/>
        </patternFill>
      </fill>
    </dxf>
    <dxf>
      <fill>
        <patternFill patternType="solid">
          <fgColor rgb="FFF2F8FC"/>
          <bgColor rgb="FF000000"/>
        </patternFill>
      </fill>
    </dxf>
    <dxf>
      <fill>
        <patternFill patternType="solid">
          <fgColor rgb="FFC4DDEF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C4DCEF"/>
          <bgColor rgb="FF000000"/>
        </patternFill>
      </fill>
    </dxf>
    <dxf>
      <fill>
        <patternFill patternType="solid">
          <fgColor rgb="FFC3DCEF"/>
          <bgColor rgb="FF000000"/>
        </patternFill>
      </fill>
    </dxf>
    <dxf>
      <fill>
        <patternFill patternType="solid">
          <fgColor rgb="FFDDEBF6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fgColor rgb="FFC2DCEE"/>
          <bgColor rgb="FF000000"/>
        </patternFill>
      </fill>
    </dxf>
    <dxf>
      <fill>
        <patternFill patternType="solid">
          <fgColor rgb="FFFAFDFE"/>
          <bgColor rgb="FF000000"/>
        </patternFill>
      </fill>
    </dxf>
    <dxf>
      <fill>
        <patternFill patternType="solid">
          <fgColor rgb="FFC2DBEE"/>
          <bgColor rgb="FF000000"/>
        </patternFill>
      </fill>
    </dxf>
    <dxf>
      <fill>
        <patternFill patternType="solid">
          <fgColor rgb="FFDCEBF6"/>
          <bgColor rgb="FF000000"/>
        </patternFill>
      </fill>
    </dxf>
    <dxf>
      <fill>
        <patternFill patternType="solid">
          <fgColor rgb="FFF6FAFD"/>
          <bgColor rgb="FF000000"/>
        </patternFill>
      </fill>
    </dxf>
    <dxf>
      <fill>
        <patternFill patternType="solid">
          <fgColor rgb="FFC1DBEE"/>
          <bgColor rgb="FF000000"/>
        </patternFill>
      </fill>
    </dxf>
    <dxf>
      <fill>
        <patternFill patternType="solid">
          <fgColor rgb="FFF1F7FC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C1DAEE"/>
          <bgColor rgb="FF000000"/>
        </patternFill>
      </fill>
    </dxf>
    <dxf>
      <fill>
        <patternFill patternType="solid">
          <fgColor rgb="FFDCEAF5"/>
          <bgColor rgb="FF000000"/>
        </patternFill>
      </fill>
    </dxf>
    <dxf>
      <fill>
        <patternFill patternType="solid">
          <fgColor rgb="FFF1F7FB"/>
          <bgColor rgb="FF000000"/>
        </patternFill>
      </fill>
    </dxf>
    <dxf>
      <fill>
        <patternFill patternType="solid">
          <fgColor rgb="FFC0DAEE"/>
          <bgColor rgb="FF000000"/>
        </patternFill>
      </fill>
    </dxf>
    <dxf>
      <fill>
        <patternFill patternType="solid">
          <fgColor rgb="FFDBEAF5"/>
          <bgColor rgb="FF000000"/>
        </patternFill>
      </fill>
    </dxf>
    <dxf>
      <fill>
        <patternFill patternType="solid">
          <fgColor rgb="FFBFDAEE"/>
          <bgColor rgb="FF000000"/>
        </patternFill>
      </fill>
    </dxf>
    <dxf>
      <fill>
        <patternFill patternType="solid">
          <fgColor rgb="FFBFD9ED"/>
          <bgColor rgb="FF000000"/>
        </patternFill>
      </fill>
    </dxf>
    <dxf>
      <fill>
        <patternFill patternType="solid">
          <fgColor rgb="FFDAEAF5"/>
          <bgColor rgb="FF000000"/>
        </patternFill>
      </fill>
    </dxf>
    <dxf>
      <fill>
        <patternFill patternType="solid">
          <fgColor rgb="FFBED9ED"/>
          <bgColor rgb="FF000000"/>
        </patternFill>
      </fill>
    </dxf>
    <dxf>
      <fill>
        <patternFill patternType="solid">
          <fgColor rgb="FFF0F7FB"/>
          <bgColor rgb="FF000000"/>
        </patternFill>
      </fill>
    </dxf>
    <dxf>
      <fill>
        <patternFill patternType="solid">
          <fgColor rgb="FFDAE9F5"/>
          <bgColor rgb="FF000000"/>
        </patternFill>
      </fill>
    </dxf>
    <dxf>
      <fill>
        <patternFill patternType="solid">
          <fgColor rgb="FFBDD9ED"/>
          <bgColor rgb="FF000000"/>
        </patternFill>
      </fill>
    </dxf>
    <dxf>
      <fill>
        <patternFill patternType="solid">
          <fgColor rgb="FFD9E9F5"/>
          <bgColor rgb="FF000000"/>
        </patternFill>
      </fill>
    </dxf>
    <dxf>
      <fill>
        <patternFill patternType="solid">
          <fgColor rgb="FFF0F6FB"/>
          <bgColor rgb="FF000000"/>
        </patternFill>
      </fill>
    </dxf>
    <dxf>
      <fill>
        <patternFill patternType="solid">
          <fgColor rgb="FFF5FAFD"/>
          <bgColor rgb="FF000000"/>
        </patternFill>
      </fill>
    </dxf>
    <dxf>
      <fill>
        <patternFill patternType="solid">
          <fgColor rgb="FFBDD8ED"/>
          <bgColor rgb="FF000000"/>
        </patternFill>
      </fill>
    </dxf>
    <dxf>
      <fill>
        <patternFill patternType="solid">
          <fgColor rgb="FFF5F9FD"/>
          <bgColor rgb="FF000000"/>
        </patternFill>
      </fill>
    </dxf>
    <dxf>
      <fill>
        <patternFill patternType="solid">
          <fgColor rgb="FFBCD8ED"/>
          <bgColor rgb="FF000000"/>
        </patternFill>
      </fill>
    </dxf>
    <dxf>
      <fill>
        <patternFill patternType="solid">
          <fgColor rgb="FFD8E8F5"/>
          <bgColor rgb="FF000000"/>
        </patternFill>
      </fill>
    </dxf>
    <dxf>
      <fill>
        <patternFill patternType="solid">
          <fgColor rgb="FFBBD7EC"/>
          <bgColor rgb="FF000000"/>
        </patternFill>
      </fill>
    </dxf>
    <dxf>
      <fill>
        <patternFill patternType="solid">
          <fgColor rgb="FFCDE2F1"/>
          <bgColor rgb="FF000000"/>
        </patternFill>
      </fill>
    </dxf>
    <dxf>
      <fill>
        <patternFill patternType="solid">
          <fgColor rgb="FFD5E6F4"/>
          <bgColor rgb="FF000000"/>
        </patternFill>
      </fill>
    </dxf>
    <dxf>
      <fill>
        <patternFill patternType="solid">
          <fgColor rgb="FFD6E7F4"/>
          <bgColor rgb="FF000000"/>
        </patternFill>
      </fill>
    </dxf>
    <dxf>
      <fill>
        <patternFill patternType="solid">
          <fgColor rgb="FFD8E9F5"/>
          <bgColor rgb="FF000000"/>
        </patternFill>
      </fill>
    </dxf>
    <dxf>
      <fill>
        <patternFill patternType="solid">
          <fgColor rgb="FFE7F1F9"/>
          <bgColor rgb="FF000000"/>
        </patternFill>
      </fill>
    </dxf>
    <dxf>
      <fill>
        <patternFill patternType="solid">
          <fgColor rgb="FFE8F2F9"/>
          <bgColor rgb="FF000000"/>
        </patternFill>
      </fill>
    </dxf>
    <dxf>
      <fill>
        <patternFill patternType="solid">
          <fgColor rgb="FFEAF3FA"/>
          <bgColor rgb="FF000000"/>
        </patternFill>
      </fill>
    </dxf>
    <dxf>
      <fill>
        <patternFill patternType="solid">
          <fgColor rgb="FFECF4FA"/>
          <bgColor rgb="FF000000"/>
        </patternFill>
      </fill>
    </dxf>
    <dxf>
      <fill>
        <patternFill patternType="solid">
          <fgColor rgb="FFD4E6F3"/>
          <bgColor rgb="FF000000"/>
        </patternFill>
      </fill>
    </dxf>
    <dxf>
      <fill>
        <patternFill patternType="solid">
          <fgColor rgb="FFD8E8F4"/>
          <bgColor rgb="FF000000"/>
        </patternFill>
      </fill>
    </dxf>
    <dxf>
      <fill>
        <patternFill patternType="solid">
          <fgColor rgb="FFE8F1F9"/>
          <bgColor rgb="FF000000"/>
        </patternFill>
      </fill>
    </dxf>
    <dxf>
      <fill>
        <patternFill patternType="solid">
          <fgColor rgb="FFEAF3F9"/>
          <bgColor rgb="FF000000"/>
        </patternFill>
      </fill>
    </dxf>
    <dxf>
      <fill>
        <patternFill patternType="solid">
          <fgColor rgb="FFEBF4FA"/>
          <bgColor rgb="FF000000"/>
        </patternFill>
      </fill>
    </dxf>
    <dxf>
      <fill>
        <patternFill patternType="solid">
          <fgColor rgb="FFCCE1F1"/>
          <bgColor rgb="FF000000"/>
        </patternFill>
      </fill>
    </dxf>
    <dxf>
      <fill>
        <patternFill patternType="solid">
          <fgColor rgb="FFD5E7F4"/>
          <bgColor rgb="FF000000"/>
        </patternFill>
      </fill>
    </dxf>
    <dxf>
      <fill>
        <patternFill patternType="solid">
          <fgColor rgb="FFE6F1F8"/>
          <bgColor rgb="FF000000"/>
        </patternFill>
      </fill>
    </dxf>
    <dxf>
      <fill>
        <patternFill patternType="solid">
          <fgColor rgb="FFE9F2F9"/>
          <bgColor rgb="FF000000"/>
        </patternFill>
      </fill>
    </dxf>
    <dxf>
      <fill>
        <patternFill patternType="solid">
          <fgColor rgb="FFEBF3FA"/>
          <bgColor rgb="FF000000"/>
        </patternFill>
      </fill>
    </dxf>
    <dxf>
      <fill>
        <patternFill patternType="solid">
          <fgColor rgb="FFF5F9FC"/>
          <bgColor rgb="FF000000"/>
        </patternFill>
      </fill>
    </dxf>
    <dxf>
      <fill>
        <patternFill patternType="solid">
          <fgColor rgb="FFD7E8F4"/>
          <bgColor rgb="FF000000"/>
        </patternFill>
      </fill>
    </dxf>
    <dxf>
      <fill>
        <patternFill patternType="solid">
          <fgColor rgb="FFE6F0F8"/>
          <bgColor rgb="FF000000"/>
        </patternFill>
      </fill>
    </dxf>
    <dxf>
      <fill>
        <patternFill patternType="solid">
          <fgColor rgb="FFEFF6FB"/>
          <bgColor rgb="FF000000"/>
        </patternFill>
      </fill>
    </dxf>
    <dxf>
      <fill>
        <patternFill patternType="solid">
          <fgColor rgb="FFC6DDEF"/>
          <bgColor rgb="FF000000"/>
        </patternFill>
      </fill>
    </dxf>
    <dxf>
      <fill>
        <patternFill patternType="solid">
          <fgColor rgb="FFD3E6F3"/>
          <bgColor rgb="FF000000"/>
        </patternFill>
      </fill>
    </dxf>
    <dxf>
      <fill>
        <patternFill patternType="solid">
          <fgColor rgb="FFD5E6F3"/>
          <bgColor rgb="FF000000"/>
        </patternFill>
      </fill>
    </dxf>
    <dxf>
      <fill>
        <patternFill patternType="solid">
          <fgColor rgb="FFE5F0F8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ill>
        <patternFill patternType="solid">
          <fgColor rgb="FFD3E5F3"/>
          <bgColor rgb="FF000000"/>
        </patternFill>
      </fill>
    </dxf>
    <dxf>
      <fill>
        <patternFill patternType="solid">
          <fgColor rgb="FFE4F0F8"/>
          <bgColor rgb="FF000000"/>
        </patternFill>
      </fill>
    </dxf>
    <dxf>
      <fill>
        <patternFill patternType="solid">
          <fgColor rgb="FFCBE1F1"/>
          <bgColor rgb="FF000000"/>
        </patternFill>
      </fill>
    </dxf>
    <dxf>
      <fill>
        <patternFill patternType="solid">
          <fgColor rgb="FFE4EFF8"/>
          <bgColor rgb="FF000000"/>
        </patternFill>
      </fill>
    </dxf>
    <dxf>
      <fill>
        <patternFill patternType="solid">
          <fgColor rgb="FFEDF5FA"/>
          <bgColor rgb="FF000000"/>
        </patternFill>
      </fill>
    </dxf>
    <dxf>
      <fill>
        <patternFill patternType="solid">
          <fgColor rgb="FFD2E5F3"/>
          <bgColor rgb="FF000000"/>
        </patternFill>
      </fill>
    </dxf>
    <dxf>
      <fill>
        <patternFill patternType="solid">
          <fgColor rgb="FFE3EFF8"/>
          <bgColor rgb="FF000000"/>
        </patternFill>
      </fill>
    </dxf>
    <dxf>
      <fill>
        <patternFill patternType="solid">
          <fgColor rgb="FFEDF4FA"/>
          <bgColor rgb="FF000000"/>
        </patternFill>
      </fill>
    </dxf>
    <dxf>
      <fill>
        <patternFill patternType="solid">
          <fgColor rgb="FFF9FCFE"/>
          <bgColor rgb="FF000000"/>
        </patternFill>
      </fill>
    </dxf>
    <dxf>
      <fill>
        <patternFill patternType="solid">
          <fgColor rgb="FFCBE0F1"/>
          <bgColor rgb="FF000000"/>
        </patternFill>
      </fill>
    </dxf>
    <dxf>
      <fill>
        <patternFill patternType="solid">
          <fgColor rgb="FFE3EFF7"/>
          <bgColor rgb="FF000000"/>
        </patternFill>
      </fill>
    </dxf>
    <dxf>
      <fill>
        <patternFill patternType="solid">
          <fgColor rgb="FFCAE0F1"/>
          <bgColor rgb="FF000000"/>
        </patternFill>
      </fill>
    </dxf>
    <dxf>
      <fill>
        <patternFill patternType="solid">
          <fgColor rgb="FFD1E4F3"/>
          <bgColor rgb="FF000000"/>
        </patternFill>
      </fill>
    </dxf>
    <dxf>
      <fill>
        <patternFill patternType="solid">
          <fgColor rgb="FFE2EEF7"/>
          <bgColor rgb="FF000000"/>
        </patternFill>
      </fill>
    </dxf>
    <dxf>
      <fill>
        <patternFill patternType="solid">
          <fgColor rgb="FFE6F1F9"/>
          <bgColor rgb="FF000000"/>
        </patternFill>
      </fill>
    </dxf>
    <dxf>
      <fill>
        <patternFill patternType="solid">
          <fgColor rgb="FFE1EEF7"/>
          <bgColor rgb="FF000000"/>
        </patternFill>
      </fill>
    </dxf>
    <dxf>
      <fill>
        <patternFill patternType="solid">
          <fgColor rgb="FFE3EEF7"/>
          <bgColor rgb="FF000000"/>
        </patternFill>
      </fill>
    </dxf>
    <dxf>
      <fill>
        <patternFill patternType="solid">
          <fgColor rgb="FFCAE0F0"/>
          <bgColor rgb="FF000000"/>
        </patternFill>
      </fill>
    </dxf>
    <dxf>
      <fill>
        <patternFill patternType="solid">
          <fgColor rgb="FFD1E4F2"/>
          <bgColor rgb="FF000000"/>
        </patternFill>
      </fill>
    </dxf>
    <dxf>
      <fill>
        <patternFill patternType="solid">
          <fgColor rgb="FFBFDAED"/>
          <bgColor rgb="FF000000"/>
        </patternFill>
      </fill>
    </dxf>
    <dxf>
      <fill>
        <patternFill patternType="solid">
          <fgColor rgb="FFD0E4F2"/>
          <bgColor rgb="FF000000"/>
        </patternFill>
      </fill>
    </dxf>
    <dxf>
      <fill>
        <patternFill patternType="solid">
          <fgColor rgb="FFE0EDF7"/>
          <bgColor rgb="FF000000"/>
        </patternFill>
      </fill>
    </dxf>
    <dxf>
      <fill>
        <patternFill patternType="solid">
          <fgColor rgb="FFC9E0F0"/>
          <bgColor rgb="FF000000"/>
        </patternFill>
      </fill>
    </dxf>
    <dxf>
      <fill>
        <patternFill patternType="solid">
          <fgColor rgb="FFE1EDF7"/>
          <bgColor rgb="FF000000"/>
        </patternFill>
      </fill>
    </dxf>
    <dxf>
      <fill>
        <patternFill patternType="solid">
          <fgColor rgb="FFC9DFF0"/>
          <bgColor rgb="FF000000"/>
        </patternFill>
      </fill>
    </dxf>
    <dxf>
      <fill>
        <patternFill patternType="solid">
          <fgColor rgb="FFD0E3F2"/>
          <bgColor rgb="FF000000"/>
        </patternFill>
      </fill>
    </dxf>
    <dxf>
      <fill>
        <patternFill patternType="solid">
          <fgColor rgb="FFCFE3F2"/>
          <bgColor rgb="FF000000"/>
        </patternFill>
      </fill>
    </dxf>
    <dxf>
      <fill>
        <patternFill patternType="solid">
          <fgColor rgb="FFC8DFF0"/>
          <bgColor rgb="FF000000"/>
        </patternFill>
      </fill>
    </dxf>
    <dxf>
      <fill>
        <patternFill patternType="solid">
          <fgColor rgb="FFCEE3F2"/>
          <bgColor rgb="FF000000"/>
        </patternFill>
      </fill>
    </dxf>
    <dxf>
      <fill>
        <patternFill patternType="solid">
          <fgColor rgb="FFCEE2F2"/>
          <bgColor rgb="FF000000"/>
        </patternFill>
      </fill>
    </dxf>
    <dxf>
      <fill>
        <patternFill patternType="solid">
          <fgColor rgb="FFDFEDF6"/>
          <bgColor rgb="FF000000"/>
        </patternFill>
      </fill>
    </dxf>
    <dxf>
      <fill>
        <patternFill patternType="solid">
          <fgColor rgb="FFC7DFF0"/>
          <bgColor rgb="FF000000"/>
        </patternFill>
      </fill>
    </dxf>
    <dxf>
      <fill>
        <patternFill patternType="solid">
          <fgColor rgb="FFD2E4F3"/>
          <bgColor rgb="FF000000"/>
        </patternFill>
      </fill>
    </dxf>
    <dxf>
      <fill>
        <patternFill patternType="solid">
          <fgColor rgb="FFC7DEF0"/>
          <bgColor rgb="FF000000"/>
        </patternFill>
      </fill>
    </dxf>
    <dxf>
      <fill>
        <patternFill patternType="solid">
          <fgColor rgb="FFDCEA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EEF4F9"/>
      <rgbColor rgb="FFCCFFFF"/>
      <rgbColor rgb="FF660066"/>
      <rgbColor rgb="FFFF8080"/>
      <rgbColor rgb="FF036BAA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C9A227"/>
      <rgbColor rgb="FFFF6600"/>
      <rgbColor rgb="FF4A7EBB"/>
      <rgbColor rgb="FF969696"/>
      <rgbColor rgb="FF024C7A"/>
      <rgbColor rgb="FF339966"/>
      <rgbColor rgb="FF003300"/>
      <rgbColor rgb="FF333300"/>
      <rgbColor rgb="FF993300"/>
      <rgbColor rgb="FF993366"/>
      <rgbColor rgb="FF44545F"/>
      <rgbColor rgb="FF1A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Población · Population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Population!A3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Population!$B$2:$AA$2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Population!$B$3:$AA$3</c:f>
              <c:numCache>
                <c:formatCode>#,##0</c:formatCode>
                <c:ptCount val="26"/>
                <c:pt idx="0">
                  <c:v>37000</c:v>
                </c:pt>
                <c:pt idx="1">
                  <c:v>37363.3</c:v>
                </c:pt>
                <c:pt idx="2">
                  <c:v>37723.5</c:v>
                </c:pt>
                <c:pt idx="3">
                  <c:v>38080.4</c:v>
                </c:pt>
                <c:pt idx="4">
                  <c:v>38433.8</c:v>
                </c:pt>
                <c:pt idx="5">
                  <c:v>38783.5</c:v>
                </c:pt>
                <c:pt idx="6">
                  <c:v>39129.5</c:v>
                </c:pt>
                <c:pt idx="7">
                  <c:v>39471.5</c:v>
                </c:pt>
                <c:pt idx="8">
                  <c:v>39809.3</c:v>
                </c:pt>
                <c:pt idx="9">
                  <c:v>40142.9</c:v>
                </c:pt>
                <c:pt idx="10">
                  <c:v>40472.1</c:v>
                </c:pt>
                <c:pt idx="11">
                  <c:v>40796.7</c:v>
                </c:pt>
                <c:pt idx="12">
                  <c:v>41116.5</c:v>
                </c:pt>
                <c:pt idx="13">
                  <c:v>41431.5</c:v>
                </c:pt>
                <c:pt idx="14">
                  <c:v>41741.4</c:v>
                </c:pt>
                <c:pt idx="15">
                  <c:v>42046.1</c:v>
                </c:pt>
                <c:pt idx="16">
                  <c:v>42345.5</c:v>
                </c:pt>
                <c:pt idx="17">
                  <c:v>42639.4</c:v>
                </c:pt>
                <c:pt idx="18">
                  <c:v>42927.6</c:v>
                </c:pt>
                <c:pt idx="19">
                  <c:v>43210.1</c:v>
                </c:pt>
                <c:pt idx="20">
                  <c:v>43486.6</c:v>
                </c:pt>
                <c:pt idx="21">
                  <c:v>43757.1</c:v>
                </c:pt>
                <c:pt idx="22">
                  <c:v>44021.4</c:v>
                </c:pt>
                <c:pt idx="23">
                  <c:v>44279.4</c:v>
                </c:pt>
                <c:pt idx="24">
                  <c:v>44530.9</c:v>
                </c:pt>
                <c:pt idx="25">
                  <c:v>44775.8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Population!A5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Population!$B$2:$AA$2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Population!$B$5:$AA$5</c:f>
              <c:numCache>
                <c:formatCode>#,##0</c:formatCode>
                <c:ptCount val="26"/>
                <c:pt idx="0">
                  <c:v>175000</c:v>
                </c:pt>
                <c:pt idx="1">
                  <c:v>176546.6</c:v>
                </c:pt>
                <c:pt idx="2">
                  <c:v>178078.4</c:v>
                </c:pt>
                <c:pt idx="3">
                  <c:v>179594.5</c:v>
                </c:pt>
                <c:pt idx="4">
                  <c:v>181094.5</c:v>
                </c:pt>
                <c:pt idx="5">
                  <c:v>182577.7</c:v>
                </c:pt>
                <c:pt idx="6">
                  <c:v>184043.4</c:v>
                </c:pt>
                <c:pt idx="7">
                  <c:v>185491.1</c:v>
                </c:pt>
                <c:pt idx="8">
                  <c:v>186920.1</c:v>
                </c:pt>
                <c:pt idx="9">
                  <c:v>188329.9</c:v>
                </c:pt>
                <c:pt idx="10">
                  <c:v>189719.7</c:v>
                </c:pt>
                <c:pt idx="11">
                  <c:v>191089.1</c:v>
                </c:pt>
                <c:pt idx="12">
                  <c:v>192437.5</c:v>
                </c:pt>
                <c:pt idx="13">
                  <c:v>193764.1</c:v>
                </c:pt>
                <c:pt idx="14">
                  <c:v>195068.5</c:v>
                </c:pt>
                <c:pt idx="15">
                  <c:v>196350.1</c:v>
                </c:pt>
                <c:pt idx="16">
                  <c:v>197608.4</c:v>
                </c:pt>
                <c:pt idx="17">
                  <c:v>198842.6</c:v>
                </c:pt>
                <c:pt idx="18">
                  <c:v>200052.4</c:v>
                </c:pt>
                <c:pt idx="19">
                  <c:v>201237.1</c:v>
                </c:pt>
                <c:pt idx="20">
                  <c:v>202396.2</c:v>
                </c:pt>
                <c:pt idx="21">
                  <c:v>203529.2</c:v>
                </c:pt>
                <c:pt idx="22">
                  <c:v>204635.6</c:v>
                </c:pt>
                <c:pt idx="23">
                  <c:v>205714.9</c:v>
                </c:pt>
                <c:pt idx="24">
                  <c:v>206766.5</c:v>
                </c:pt>
                <c:pt idx="25">
                  <c:v>207790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Population!A16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Population!$B$2:$AA$2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Population!$B$16:$AA$16</c:f>
              <c:numCache>
                <c:formatCode>#,##0</c:formatCode>
                <c:ptCount val="26"/>
                <c:pt idx="0">
                  <c:v>98900</c:v>
                </c:pt>
                <c:pt idx="1">
                  <c:v>99919.8</c:v>
                </c:pt>
                <c:pt idx="2">
                  <c:v>100931.1</c:v>
                </c:pt>
                <c:pt idx="3">
                  <c:v>101933.7</c:v>
                </c:pt>
                <c:pt idx="4">
                  <c:v>102926.9</c:v>
                </c:pt>
                <c:pt idx="5">
                  <c:v>103910.4</c:v>
                </c:pt>
                <c:pt idx="6">
                  <c:v>104883.6</c:v>
                </c:pt>
                <c:pt idx="7">
                  <c:v>105846.1</c:v>
                </c:pt>
                <c:pt idx="8">
                  <c:v>106797.5</c:v>
                </c:pt>
                <c:pt idx="9">
                  <c:v>107737.2</c:v>
                </c:pt>
                <c:pt idx="10">
                  <c:v>108664.8</c:v>
                </c:pt>
                <c:pt idx="11">
                  <c:v>109579.9</c:v>
                </c:pt>
                <c:pt idx="12">
                  <c:v>110481.9</c:v>
                </c:pt>
                <c:pt idx="13">
                  <c:v>111370.6</c:v>
                </c:pt>
                <c:pt idx="14">
                  <c:v>112245.3</c:v>
                </c:pt>
                <c:pt idx="15">
                  <c:v>113105.6</c:v>
                </c:pt>
                <c:pt idx="16">
                  <c:v>113951.2</c:v>
                </c:pt>
                <c:pt idx="17">
                  <c:v>114781.6</c:v>
                </c:pt>
                <c:pt idx="18">
                  <c:v>115596.3</c:v>
                </c:pt>
                <c:pt idx="19">
                  <c:v>116394.9</c:v>
                </c:pt>
                <c:pt idx="20">
                  <c:v>117177.1</c:v>
                </c:pt>
                <c:pt idx="21">
                  <c:v>117942.4</c:v>
                </c:pt>
                <c:pt idx="22">
                  <c:v>118690.4</c:v>
                </c:pt>
                <c:pt idx="23">
                  <c:v>119420.7</c:v>
                </c:pt>
                <c:pt idx="24">
                  <c:v>120132.9</c:v>
                </c:pt>
                <c:pt idx="25">
                  <c:v>120826.7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375022"/>
        <c:axId val="238034"/>
      </c:lineChart>
      <c:catAx>
        <c:axId val="93375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8034"/>
        <c:crosses val="autoZero"/>
        <c:auto val="1"/>
        <c:lblAlgn val="ctr"/>
        <c:lblOffset val="100"/>
        <c:noMultiLvlLbl val="0"/>
      </c:catAx>
      <c:valAx>
        <c:axId val="238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3750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11</xdr:col>
      <xdr:colOff>39960</xdr:colOff>
      <xdr:row>41</xdr:row>
      <xdr:rowOff>11520</xdr:rowOff>
    </xdr:to>
    <xdr:graphicFrame>
      <xdr:nvGraphicFramePr>
        <xdr:cNvPr id="1" name="Chart 1"/>
        <xdr:cNvGraphicFramePr/>
      </xdr:nvGraphicFramePr>
      <xdr:xfrm>
        <a:off x="0" y="4981680"/>
        <a:ext cx="863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5"/>
    <col collapsed="false" customWidth="true" hidden="false" outlineLevel="0" max="4" min="3" style="1" width="12"/>
    <col collapsed="false" customWidth="true" hidden="false" outlineLevel="0" max="5" min="5" style="1" width="19"/>
    <col collapsed="false" customWidth="true" hidden="false" outlineLevel="0" max="7" min="6" style="1" width="14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0</v>
      </c>
      <c r="B5" s="6" t="n">
        <f aca="false">COUNTA(Population!A3:A23)</f>
        <v>21</v>
      </c>
      <c r="C5" s="7" t="n">
        <f aca="false">Population!B2</f>
        <v>2000</v>
      </c>
      <c r="D5" s="7" t="n">
        <f aca="false">Population!AA2</f>
        <v>2025</v>
      </c>
      <c r="E5" s="8" t="n">
        <f aca="false">IFERROR(AVERAGE(Population!AA3:AA23),"")</f>
        <v>29372.2428571429</v>
      </c>
      <c r="F5" s="8" t="n">
        <f aca="false">IFERROR(MIN(Population!B3:AA23),"")</f>
        <v>1270</v>
      </c>
      <c r="G5" s="8" t="n">
        <f aca="false">IFERROR(MAX(Population!B3:AA23),"")</f>
        <v>207790</v>
      </c>
    </row>
    <row r="6" customFormat="false" ht="15" hidden="false" customHeight="true" outlineLevel="0" collapsed="false">
      <c r="A6" s="5" t="s">
        <v>9</v>
      </c>
      <c r="B6" s="6" t="n">
        <f aca="false">COUNTA(Urbanization!A3:A23)</f>
        <v>21</v>
      </c>
      <c r="C6" s="7" t="n">
        <f aca="false">Urbanization!B2</f>
        <v>2000</v>
      </c>
      <c r="D6" s="7" t="n">
        <f aca="false">Urbanization!AA2</f>
        <v>2025</v>
      </c>
      <c r="E6" s="8" t="n">
        <f aca="false">IFERROR(AVERAGE(Urbanization!AA3:AA23),"")</f>
        <v>0.759961904761905</v>
      </c>
      <c r="F6" s="8" t="n">
        <f aca="false">IFERROR(MIN(Urbanization!B3:AA23),"")</f>
        <v>0.451</v>
      </c>
      <c r="G6" s="8" t="n">
        <f aca="false">IFERROR(MAX(Urbanization!B3:AA23),"")</f>
        <v>0.9369</v>
      </c>
    </row>
    <row r="8" customFormat="false" ht="15" hidden="false" customHeight="true" outlineLevel="0" collapsed="false">
      <c r="A8" s="9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12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13</v>
      </c>
      <c r="B3" s="14" t="n">
        <v>37000</v>
      </c>
      <c r="C3" s="14" t="n">
        <v>37363.3</v>
      </c>
      <c r="D3" s="14" t="n">
        <v>37723.5</v>
      </c>
      <c r="E3" s="14" t="n">
        <v>38080.4</v>
      </c>
      <c r="F3" s="14" t="n">
        <v>38433.8</v>
      </c>
      <c r="G3" s="14" t="n">
        <v>38783.5</v>
      </c>
      <c r="H3" s="14" t="n">
        <v>39129.5</v>
      </c>
      <c r="I3" s="14" t="n">
        <v>39471.5</v>
      </c>
      <c r="J3" s="14" t="n">
        <v>39809.3</v>
      </c>
      <c r="K3" s="14" t="n">
        <v>40142.9</v>
      </c>
      <c r="L3" s="14" t="n">
        <v>40472.1</v>
      </c>
      <c r="M3" s="14" t="n">
        <v>40796.7</v>
      </c>
      <c r="N3" s="14" t="n">
        <v>41116.5</v>
      </c>
      <c r="O3" s="14" t="n">
        <v>41431.5</v>
      </c>
      <c r="P3" s="14" t="n">
        <v>41741.4</v>
      </c>
      <c r="Q3" s="14" t="n">
        <v>42046.1</v>
      </c>
      <c r="R3" s="14" t="n">
        <v>42345.5</v>
      </c>
      <c r="S3" s="14" t="n">
        <v>42639.4</v>
      </c>
      <c r="T3" s="14" t="n">
        <v>42927.6</v>
      </c>
      <c r="U3" s="14" t="n">
        <v>43210.1</v>
      </c>
      <c r="V3" s="14" t="n">
        <v>43486.6</v>
      </c>
      <c r="W3" s="14" t="n">
        <v>43757.1</v>
      </c>
      <c r="X3" s="14" t="n">
        <v>44021.4</v>
      </c>
      <c r="Y3" s="14" t="n">
        <v>44279.4</v>
      </c>
      <c r="Z3" s="14" t="n">
        <v>44530.9</v>
      </c>
      <c r="AA3" s="14" t="n">
        <v>44775.8</v>
      </c>
    </row>
    <row r="4" customFormat="false" ht="15" hidden="false" customHeight="true" outlineLevel="0" collapsed="false">
      <c r="A4" s="15" t="s">
        <v>14</v>
      </c>
      <c r="B4" s="16" t="n">
        <v>8400</v>
      </c>
      <c r="C4" s="16" t="n">
        <v>8527.9</v>
      </c>
      <c r="D4" s="16" t="n">
        <v>8655.3</v>
      </c>
      <c r="E4" s="16" t="n">
        <v>8782.2</v>
      </c>
      <c r="F4" s="16" t="n">
        <v>8908.5</v>
      </c>
      <c r="G4" s="16" t="n">
        <v>9034.2</v>
      </c>
      <c r="H4" s="16" t="n">
        <v>9159.1</v>
      </c>
      <c r="I4" s="16" t="n">
        <v>9283.2</v>
      </c>
      <c r="J4" s="16" t="n">
        <v>9406.3</v>
      </c>
      <c r="K4" s="16" t="n">
        <v>9528.5</v>
      </c>
      <c r="L4" s="16" t="n">
        <v>9649.6</v>
      </c>
      <c r="M4" s="16" t="n">
        <v>9769.6</v>
      </c>
      <c r="N4" s="16" t="n">
        <v>9888.3</v>
      </c>
      <c r="O4" s="16" t="n">
        <v>10005.7</v>
      </c>
      <c r="P4" s="16" t="n">
        <v>10121.7</v>
      </c>
      <c r="Q4" s="16" t="n">
        <v>10236.2</v>
      </c>
      <c r="R4" s="16" t="n">
        <v>10349.2</v>
      </c>
      <c r="S4" s="16" t="n">
        <v>10460.5</v>
      </c>
      <c r="T4" s="16" t="n">
        <v>10570.1</v>
      </c>
      <c r="U4" s="16" t="n">
        <v>10677.9</v>
      </c>
      <c r="V4" s="16" t="n">
        <v>10783.8</v>
      </c>
      <c r="W4" s="16" t="n">
        <v>10887.8</v>
      </c>
      <c r="X4" s="16" t="n">
        <v>10989.7</v>
      </c>
      <c r="Y4" s="16" t="n">
        <v>11089.6</v>
      </c>
      <c r="Z4" s="16" t="n">
        <v>11187.2</v>
      </c>
      <c r="AA4" s="16" t="n">
        <v>11282.6</v>
      </c>
    </row>
    <row r="5" customFormat="false" ht="15" hidden="false" customHeight="true" outlineLevel="0" collapsed="false">
      <c r="A5" s="13" t="s">
        <v>15</v>
      </c>
      <c r="B5" s="14" t="n">
        <v>175000</v>
      </c>
      <c r="C5" s="14" t="n">
        <v>176546.6</v>
      </c>
      <c r="D5" s="14" t="n">
        <v>178078.4</v>
      </c>
      <c r="E5" s="14" t="n">
        <v>179594.5</v>
      </c>
      <c r="F5" s="14" t="n">
        <v>181094.5</v>
      </c>
      <c r="G5" s="14" t="n">
        <v>182577.7</v>
      </c>
      <c r="H5" s="14" t="n">
        <v>184043.4</v>
      </c>
      <c r="I5" s="14" t="n">
        <v>185491.1</v>
      </c>
      <c r="J5" s="14" t="n">
        <v>186920.1</v>
      </c>
      <c r="K5" s="14" t="n">
        <v>188329.9</v>
      </c>
      <c r="L5" s="14" t="n">
        <v>189719.7</v>
      </c>
      <c r="M5" s="14" t="n">
        <v>191089.1</v>
      </c>
      <c r="N5" s="14" t="n">
        <v>192437.5</v>
      </c>
      <c r="O5" s="14" t="n">
        <v>193764.1</v>
      </c>
      <c r="P5" s="14" t="n">
        <v>195068.5</v>
      </c>
      <c r="Q5" s="14" t="n">
        <v>196350.1</v>
      </c>
      <c r="R5" s="14" t="n">
        <v>197608.4</v>
      </c>
      <c r="S5" s="14" t="n">
        <v>198842.6</v>
      </c>
      <c r="T5" s="14" t="n">
        <v>200052.4</v>
      </c>
      <c r="U5" s="14" t="n">
        <v>201237.1</v>
      </c>
      <c r="V5" s="14" t="n">
        <v>202396.2</v>
      </c>
      <c r="W5" s="14" t="n">
        <v>203529.2</v>
      </c>
      <c r="X5" s="14" t="n">
        <v>204635.6</v>
      </c>
      <c r="Y5" s="14" t="n">
        <v>205714.9</v>
      </c>
      <c r="Z5" s="14" t="n">
        <v>206766.5</v>
      </c>
      <c r="AA5" s="14" t="n">
        <v>207790</v>
      </c>
    </row>
    <row r="6" customFormat="false" ht="15" hidden="false" customHeight="true" outlineLevel="0" collapsed="false">
      <c r="A6" s="15" t="s">
        <v>16</v>
      </c>
      <c r="B6" s="16" t="n">
        <v>15400</v>
      </c>
      <c r="C6" s="16" t="n">
        <v>15543.7</v>
      </c>
      <c r="D6" s="16" t="n">
        <v>15686</v>
      </c>
      <c r="E6" s="16" t="n">
        <v>15827</v>
      </c>
      <c r="F6" s="16" t="n">
        <v>15966.5</v>
      </c>
      <c r="G6" s="16" t="n">
        <v>16104.5</v>
      </c>
      <c r="H6" s="16" t="n">
        <v>16241</v>
      </c>
      <c r="I6" s="16" t="n">
        <v>16375.9</v>
      </c>
      <c r="J6" s="16" t="n">
        <v>16509</v>
      </c>
      <c r="K6" s="16" t="n">
        <v>16640.5</v>
      </c>
      <c r="L6" s="16" t="n">
        <v>16770.1</v>
      </c>
      <c r="M6" s="16" t="n">
        <v>16897.9</v>
      </c>
      <c r="N6" s="16" t="n">
        <v>17023.7</v>
      </c>
      <c r="O6" s="16" t="n">
        <v>17147.6</v>
      </c>
      <c r="P6" s="16" t="n">
        <v>17269.5</v>
      </c>
      <c r="Q6" s="16" t="n">
        <v>17389.2</v>
      </c>
      <c r="R6" s="16" t="n">
        <v>17506.8</v>
      </c>
      <c r="S6" s="16" t="n">
        <v>17622.3</v>
      </c>
      <c r="T6" s="16" t="n">
        <v>17735.4</v>
      </c>
      <c r="U6" s="16" t="n">
        <v>17846.3</v>
      </c>
      <c r="V6" s="16" t="n">
        <v>17954.8</v>
      </c>
      <c r="W6" s="16" t="n">
        <v>18060.9</v>
      </c>
      <c r="X6" s="16" t="n">
        <v>18164.5</v>
      </c>
      <c r="Y6" s="16" t="n">
        <v>18265.6</v>
      </c>
      <c r="Z6" s="16" t="n">
        <v>18364.2</v>
      </c>
      <c r="AA6" s="16" t="n">
        <v>18460.2</v>
      </c>
    </row>
    <row r="7" customFormat="false" ht="15" hidden="false" customHeight="true" outlineLevel="0" collapsed="false">
      <c r="A7" s="13" t="s">
        <v>17</v>
      </c>
      <c r="B7" s="14" t="n">
        <v>39800</v>
      </c>
      <c r="C7" s="14" t="n">
        <v>40249.5</v>
      </c>
      <c r="D7" s="14" t="n">
        <v>40695.7</v>
      </c>
      <c r="E7" s="14" t="n">
        <v>41138.4</v>
      </c>
      <c r="F7" s="14" t="n">
        <v>41577.4</v>
      </c>
      <c r="G7" s="14" t="n">
        <v>42012.5</v>
      </c>
      <c r="H7" s="14" t="n">
        <v>42443.5</v>
      </c>
      <c r="I7" s="14" t="n">
        <v>42870.1</v>
      </c>
      <c r="J7" s="14" t="n">
        <v>43292.1</v>
      </c>
      <c r="K7" s="14" t="n">
        <v>43709.3</v>
      </c>
      <c r="L7" s="14" t="n">
        <v>44121.5</v>
      </c>
      <c r="M7" s="14" t="n">
        <v>44528.4</v>
      </c>
      <c r="N7" s="14" t="n">
        <v>44929.9</v>
      </c>
      <c r="O7" s="14" t="n">
        <v>45325.7</v>
      </c>
      <c r="P7" s="14" t="n">
        <v>45715.6</v>
      </c>
      <c r="Q7" s="14" t="n">
        <v>46099.4</v>
      </c>
      <c r="R7" s="14" t="n">
        <v>46476.8</v>
      </c>
      <c r="S7" s="14" t="n">
        <v>46847.7</v>
      </c>
      <c r="T7" s="14" t="n">
        <v>47211.9</v>
      </c>
      <c r="U7" s="14" t="n">
        <v>47569.2</v>
      </c>
      <c r="V7" s="14" t="n">
        <v>47919.3</v>
      </c>
      <c r="W7" s="14" t="n">
        <v>48262.1</v>
      </c>
      <c r="X7" s="14" t="n">
        <v>48597.3</v>
      </c>
      <c r="Y7" s="14" t="n">
        <v>48924.8</v>
      </c>
      <c r="Z7" s="14" t="n">
        <v>49244.4</v>
      </c>
      <c r="AA7" s="14" t="n">
        <v>49555.8</v>
      </c>
    </row>
    <row r="8" customFormat="false" ht="15" hidden="false" customHeight="true" outlineLevel="0" collapsed="false">
      <c r="A8" s="15" t="s">
        <v>18</v>
      </c>
      <c r="B8" s="16" t="n">
        <v>3900</v>
      </c>
      <c r="C8" s="16" t="n">
        <v>3946</v>
      </c>
      <c r="D8" s="16" t="n">
        <v>3991.6</v>
      </c>
      <c r="E8" s="16" t="n">
        <v>4036.9</v>
      </c>
      <c r="F8" s="16" t="n">
        <v>4081.9</v>
      </c>
      <c r="G8" s="16" t="n">
        <v>4126.4</v>
      </c>
      <c r="H8" s="16" t="n">
        <v>4170.6</v>
      </c>
      <c r="I8" s="16" t="n">
        <v>4214.4</v>
      </c>
      <c r="J8" s="16" t="n">
        <v>4257.6</v>
      </c>
      <c r="K8" s="16" t="n">
        <v>4300.5</v>
      </c>
      <c r="L8" s="16" t="n">
        <v>4342.8</v>
      </c>
      <c r="M8" s="16" t="n">
        <v>4384.6</v>
      </c>
      <c r="N8" s="16" t="n">
        <v>4425.8</v>
      </c>
      <c r="O8" s="16" t="n">
        <v>4466.5</v>
      </c>
      <c r="P8" s="16" t="n">
        <v>4506.6</v>
      </c>
      <c r="Q8" s="16" t="n">
        <v>4546.1</v>
      </c>
      <c r="R8" s="16" t="n">
        <v>4584.9</v>
      </c>
      <c r="S8" s="16" t="n">
        <v>4623.1</v>
      </c>
      <c r="T8" s="16" t="n">
        <v>4660.6</v>
      </c>
      <c r="U8" s="16" t="n">
        <v>4697.4</v>
      </c>
      <c r="V8" s="16" t="n">
        <v>4733.5</v>
      </c>
      <c r="W8" s="16" t="n">
        <v>4768.8</v>
      </c>
      <c r="X8" s="16" t="n">
        <v>4803.4</v>
      </c>
      <c r="Y8" s="16" t="n">
        <v>4837.2</v>
      </c>
      <c r="Z8" s="16" t="n">
        <v>4870.1</v>
      </c>
      <c r="AA8" s="16" t="n">
        <v>4902.3</v>
      </c>
    </row>
    <row r="9" customFormat="false" ht="15" hidden="false" customHeight="true" outlineLevel="0" collapsed="false">
      <c r="A9" s="13" t="s">
        <v>19</v>
      </c>
      <c r="B9" s="14" t="n">
        <v>11100</v>
      </c>
      <c r="C9" s="14" t="n">
        <v>11110.9</v>
      </c>
      <c r="D9" s="14" t="n">
        <v>11121.6</v>
      </c>
      <c r="E9" s="14" t="n">
        <v>11132.1</v>
      </c>
      <c r="F9" s="14" t="n">
        <v>11142.5</v>
      </c>
      <c r="G9" s="14" t="n">
        <v>11152.6</v>
      </c>
      <c r="H9" s="14" t="n">
        <v>11162.6</v>
      </c>
      <c r="I9" s="14" t="n">
        <v>11172.3</v>
      </c>
      <c r="J9" s="14" t="n">
        <v>11181.9</v>
      </c>
      <c r="K9" s="14" t="n">
        <v>11191.2</v>
      </c>
      <c r="L9" s="14" t="n">
        <v>11200.4</v>
      </c>
      <c r="M9" s="14" t="n">
        <v>11209.4</v>
      </c>
      <c r="N9" s="14" t="n">
        <v>11218.2</v>
      </c>
      <c r="O9" s="14" t="n">
        <v>11226.8</v>
      </c>
      <c r="P9" s="14" t="n">
        <v>11235.2</v>
      </c>
      <c r="Q9" s="14" t="n">
        <v>11243.4</v>
      </c>
      <c r="R9" s="14" t="n">
        <v>11251.4</v>
      </c>
      <c r="S9" s="14" t="n">
        <v>11259.2</v>
      </c>
      <c r="T9" s="14" t="n">
        <v>11266.8</v>
      </c>
      <c r="U9" s="14" t="n">
        <v>11274.2</v>
      </c>
      <c r="V9" s="14" t="n">
        <v>11281.4</v>
      </c>
      <c r="W9" s="14" t="n">
        <v>11288.5</v>
      </c>
      <c r="X9" s="14" t="n">
        <v>11295.3</v>
      </c>
      <c r="Y9" s="14" t="n">
        <v>11301.9</v>
      </c>
      <c r="Z9" s="14" t="n">
        <v>11308.3</v>
      </c>
      <c r="AA9" s="14" t="n">
        <v>11314.5</v>
      </c>
    </row>
    <row r="10" customFormat="false" ht="15" hidden="false" customHeight="true" outlineLevel="0" collapsed="false">
      <c r="A10" s="15" t="s">
        <v>20</v>
      </c>
      <c r="B10" s="16" t="n">
        <v>8600</v>
      </c>
      <c r="C10" s="16" t="n">
        <v>8705.6</v>
      </c>
      <c r="D10" s="16" t="n">
        <v>8810.5</v>
      </c>
      <c r="E10" s="16" t="n">
        <v>8914.7</v>
      </c>
      <c r="F10" s="16" t="n">
        <v>9018.1</v>
      </c>
      <c r="G10" s="16" t="n">
        <v>9120.6</v>
      </c>
      <c r="H10" s="16" t="n">
        <v>9222.3</v>
      </c>
      <c r="I10" s="16" t="n">
        <v>9323.1</v>
      </c>
      <c r="J10" s="16" t="n">
        <v>9422.8</v>
      </c>
      <c r="K10" s="16" t="n">
        <v>9521.6</v>
      </c>
      <c r="L10" s="16" t="n">
        <v>9619.1</v>
      </c>
      <c r="M10" s="16" t="n">
        <v>9715.6</v>
      </c>
      <c r="N10" s="16" t="n">
        <v>9810.8</v>
      </c>
      <c r="O10" s="16" t="n">
        <v>9904.7</v>
      </c>
      <c r="P10" s="16" t="n">
        <v>9997.3</v>
      </c>
      <c r="Q10" s="16" t="n">
        <v>10088.6</v>
      </c>
      <c r="R10" s="16" t="n">
        <v>10178.4</v>
      </c>
      <c r="S10" s="16" t="n">
        <v>10266.7</v>
      </c>
      <c r="T10" s="16" t="n">
        <v>10353.4</v>
      </c>
      <c r="U10" s="16" t="n">
        <v>10438.6</v>
      </c>
      <c r="V10" s="16" t="n">
        <v>10522.1</v>
      </c>
      <c r="W10" s="16" t="n">
        <v>10603.9</v>
      </c>
      <c r="X10" s="16" t="n">
        <v>10683.9</v>
      </c>
      <c r="Y10" s="16" t="n">
        <v>10762.2</v>
      </c>
      <c r="Z10" s="16" t="n">
        <v>10838.6</v>
      </c>
      <c r="AA10" s="16" t="n">
        <v>10913.1</v>
      </c>
    </row>
    <row r="11" customFormat="false" ht="15" hidden="false" customHeight="true" outlineLevel="0" collapsed="false">
      <c r="A11" s="13" t="s">
        <v>21</v>
      </c>
      <c r="B11" s="14" t="n">
        <v>12600</v>
      </c>
      <c r="C11" s="14" t="n">
        <v>12773.2</v>
      </c>
      <c r="D11" s="14" t="n">
        <v>12945.6</v>
      </c>
      <c r="E11" s="14" t="n">
        <v>13117.1</v>
      </c>
      <c r="F11" s="14" t="n">
        <v>13287.5</v>
      </c>
      <c r="G11" s="14" t="n">
        <v>13456.8</v>
      </c>
      <c r="H11" s="14" t="n">
        <v>13624.8</v>
      </c>
      <c r="I11" s="14" t="n">
        <v>13791.5</v>
      </c>
      <c r="J11" s="14" t="n">
        <v>13956.8</v>
      </c>
      <c r="K11" s="14" t="n">
        <v>14120.5</v>
      </c>
      <c r="L11" s="14" t="n">
        <v>14282.6</v>
      </c>
      <c r="M11" s="14" t="n">
        <v>14443</v>
      </c>
      <c r="N11" s="14" t="n">
        <v>14601.5</v>
      </c>
      <c r="O11" s="14" t="n">
        <v>14758.1</v>
      </c>
      <c r="P11" s="14" t="n">
        <v>14912.7</v>
      </c>
      <c r="Q11" s="14" t="n">
        <v>15065.1</v>
      </c>
      <c r="R11" s="14" t="n">
        <v>15215.2</v>
      </c>
      <c r="S11" s="14" t="n">
        <v>15363.1</v>
      </c>
      <c r="T11" s="14" t="n">
        <v>15508.5</v>
      </c>
      <c r="U11" s="14" t="n">
        <v>15651.3</v>
      </c>
      <c r="V11" s="14" t="n">
        <v>15791.6</v>
      </c>
      <c r="W11" s="14" t="n">
        <v>15929.1</v>
      </c>
      <c r="X11" s="14" t="n">
        <v>16063.8</v>
      </c>
      <c r="Y11" s="14" t="n">
        <v>16195.6</v>
      </c>
      <c r="Z11" s="14" t="n">
        <v>16324.4</v>
      </c>
      <c r="AA11" s="14" t="n">
        <v>16450.1</v>
      </c>
    </row>
    <row r="12" customFormat="false" ht="15" hidden="false" customHeight="true" outlineLevel="0" collapsed="false">
      <c r="A12" s="15" t="s">
        <v>22</v>
      </c>
      <c r="B12" s="16" t="n">
        <v>5900</v>
      </c>
      <c r="C12" s="16" t="n">
        <v>5926.1</v>
      </c>
      <c r="D12" s="16" t="n">
        <v>5951.8</v>
      </c>
      <c r="E12" s="16" t="n">
        <v>5977.1</v>
      </c>
      <c r="F12" s="16" t="n">
        <v>6002.1</v>
      </c>
      <c r="G12" s="16" t="n">
        <v>6026.7</v>
      </c>
      <c r="H12" s="16" t="n">
        <v>6050.8</v>
      </c>
      <c r="I12" s="16" t="n">
        <v>6074.6</v>
      </c>
      <c r="J12" s="16" t="n">
        <v>6098</v>
      </c>
      <c r="K12" s="16" t="n">
        <v>6121</v>
      </c>
      <c r="L12" s="16" t="n">
        <v>6143.6</v>
      </c>
      <c r="M12" s="16" t="n">
        <v>6165.8</v>
      </c>
      <c r="N12" s="16" t="n">
        <v>6187.6</v>
      </c>
      <c r="O12" s="16" t="n">
        <v>6208.9</v>
      </c>
      <c r="P12" s="16" t="n">
        <v>6229.8</v>
      </c>
      <c r="Q12" s="16" t="n">
        <v>6250.2</v>
      </c>
      <c r="R12" s="16" t="n">
        <v>6270.3</v>
      </c>
      <c r="S12" s="16" t="n">
        <v>6289.9</v>
      </c>
      <c r="T12" s="16" t="n">
        <v>6309</v>
      </c>
      <c r="U12" s="16" t="n">
        <v>6327.7</v>
      </c>
      <c r="V12" s="16" t="n">
        <v>6345.9</v>
      </c>
      <c r="W12" s="16" t="n">
        <v>6363.7</v>
      </c>
      <c r="X12" s="16" t="n">
        <v>6380.9</v>
      </c>
      <c r="Y12" s="16" t="n">
        <v>6397.8</v>
      </c>
      <c r="Z12" s="16" t="n">
        <v>6414.1</v>
      </c>
      <c r="AA12" s="16" t="n">
        <v>6430</v>
      </c>
    </row>
    <row r="13" customFormat="false" ht="15" hidden="false" customHeight="true" outlineLevel="0" collapsed="false">
      <c r="A13" s="13" t="s">
        <v>23</v>
      </c>
      <c r="B13" s="14" t="n">
        <v>11600</v>
      </c>
      <c r="C13" s="14" t="n">
        <v>11822.1</v>
      </c>
      <c r="D13" s="14" t="n">
        <v>12044.4</v>
      </c>
      <c r="E13" s="14" t="n">
        <v>12266.5</v>
      </c>
      <c r="F13" s="14" t="n">
        <v>12488.5</v>
      </c>
      <c r="G13" s="14" t="n">
        <v>12710.1</v>
      </c>
      <c r="H13" s="14" t="n">
        <v>12931.2</v>
      </c>
      <c r="I13" s="14" t="n">
        <v>13151.6</v>
      </c>
      <c r="J13" s="14" t="n">
        <v>13371.1</v>
      </c>
      <c r="K13" s="14" t="n">
        <v>13589.6</v>
      </c>
      <c r="L13" s="14" t="n">
        <v>13806.9</v>
      </c>
      <c r="M13" s="14" t="n">
        <v>14022.8</v>
      </c>
      <c r="N13" s="14" t="n">
        <v>14237.2</v>
      </c>
      <c r="O13" s="14" t="n">
        <v>14449.9</v>
      </c>
      <c r="P13" s="14" t="n">
        <v>14660.7</v>
      </c>
      <c r="Q13" s="14" t="n">
        <v>14869.3</v>
      </c>
      <c r="R13" s="14" t="n">
        <v>15075.8</v>
      </c>
      <c r="S13" s="14" t="n">
        <v>15279.8</v>
      </c>
      <c r="T13" s="14" t="n">
        <v>15481.2</v>
      </c>
      <c r="U13" s="14" t="n">
        <v>15679.9</v>
      </c>
      <c r="V13" s="14" t="n">
        <v>15875.6</v>
      </c>
      <c r="W13" s="14" t="n">
        <v>16068.1</v>
      </c>
      <c r="X13" s="14" t="n">
        <v>16257.4</v>
      </c>
      <c r="Y13" s="14" t="n">
        <v>16443.1</v>
      </c>
      <c r="Z13" s="14" t="n">
        <v>16625.3</v>
      </c>
      <c r="AA13" s="14" t="n">
        <v>16803.6</v>
      </c>
    </row>
    <row r="14" customFormat="false" ht="15" hidden="false" customHeight="true" outlineLevel="0" collapsed="false">
      <c r="A14" s="15" t="s">
        <v>24</v>
      </c>
      <c r="B14" s="16" t="n">
        <v>6600</v>
      </c>
      <c r="C14" s="16" t="n">
        <v>6726.4</v>
      </c>
      <c r="D14" s="16" t="n">
        <v>6852.8</v>
      </c>
      <c r="E14" s="16" t="n">
        <v>6979.2</v>
      </c>
      <c r="F14" s="16" t="n">
        <v>7105.5</v>
      </c>
      <c r="G14" s="16" t="n">
        <v>7231.6</v>
      </c>
      <c r="H14" s="16" t="n">
        <v>7357.4</v>
      </c>
      <c r="I14" s="16" t="n">
        <v>7482.8</v>
      </c>
      <c r="J14" s="16" t="n">
        <v>7607.7</v>
      </c>
      <c r="K14" s="16" t="n">
        <v>7732</v>
      </c>
      <c r="L14" s="16" t="n">
        <v>7855.7</v>
      </c>
      <c r="M14" s="16" t="n">
        <v>7978.5</v>
      </c>
      <c r="N14" s="16" t="n">
        <v>8100.5</v>
      </c>
      <c r="O14" s="16" t="n">
        <v>8221.5</v>
      </c>
      <c r="P14" s="16" t="n">
        <v>8341.4</v>
      </c>
      <c r="Q14" s="16" t="n">
        <v>8460.1</v>
      </c>
      <c r="R14" s="16" t="n">
        <v>8577.6</v>
      </c>
      <c r="S14" s="16" t="n">
        <v>8693.7</v>
      </c>
      <c r="T14" s="16" t="n">
        <v>8808.3</v>
      </c>
      <c r="U14" s="16" t="n">
        <v>8921.3</v>
      </c>
      <c r="V14" s="16" t="n">
        <v>9032.6</v>
      </c>
      <c r="W14" s="16" t="n">
        <v>9142.2</v>
      </c>
      <c r="X14" s="16" t="n">
        <v>9249.9</v>
      </c>
      <c r="Y14" s="16" t="n">
        <v>9355.6</v>
      </c>
      <c r="Z14" s="16" t="n">
        <v>9459.2</v>
      </c>
      <c r="AA14" s="16" t="n">
        <v>9560.6</v>
      </c>
    </row>
    <row r="15" customFormat="false" ht="15" hidden="false" customHeight="true" outlineLevel="0" collapsed="false">
      <c r="A15" s="13" t="s">
        <v>25</v>
      </c>
      <c r="B15" s="14" t="n">
        <v>2600</v>
      </c>
      <c r="C15" s="14" t="n">
        <v>2608.9</v>
      </c>
      <c r="D15" s="14" t="n">
        <v>2617.7</v>
      </c>
      <c r="E15" s="14" t="n">
        <v>2626.4</v>
      </c>
      <c r="F15" s="14" t="n">
        <v>2634.9</v>
      </c>
      <c r="G15" s="14" t="n">
        <v>2643.3</v>
      </c>
      <c r="H15" s="14" t="n">
        <v>2651.6</v>
      </c>
      <c r="I15" s="14" t="n">
        <v>2659.7</v>
      </c>
      <c r="J15" s="14" t="n">
        <v>2667.7</v>
      </c>
      <c r="K15" s="14" t="n">
        <v>2675.5</v>
      </c>
      <c r="L15" s="14" t="n">
        <v>2683.2</v>
      </c>
      <c r="M15" s="14" t="n">
        <v>2690.7</v>
      </c>
      <c r="N15" s="14" t="n">
        <v>2698.1</v>
      </c>
      <c r="O15" s="14" t="n">
        <v>2705.3</v>
      </c>
      <c r="P15" s="14" t="n">
        <v>2712.4</v>
      </c>
      <c r="Q15" s="14" t="n">
        <v>2719.3</v>
      </c>
      <c r="R15" s="14" t="n">
        <v>2726.1</v>
      </c>
      <c r="S15" s="14" t="n">
        <v>2732.7</v>
      </c>
      <c r="T15" s="14" t="n">
        <v>2739.2</v>
      </c>
      <c r="U15" s="14" t="n">
        <v>2745.5</v>
      </c>
      <c r="V15" s="14" t="n">
        <v>2751.6</v>
      </c>
      <c r="W15" s="14" t="n">
        <v>2757.6</v>
      </c>
      <c r="X15" s="14" t="n">
        <v>2763.5</v>
      </c>
      <c r="Y15" s="14" t="n">
        <v>2769.1</v>
      </c>
      <c r="Z15" s="14" t="n">
        <v>2774.6</v>
      </c>
      <c r="AA15" s="14" t="n">
        <v>2780</v>
      </c>
    </row>
    <row r="16" customFormat="false" ht="15" hidden="false" customHeight="true" outlineLevel="0" collapsed="false">
      <c r="A16" s="15" t="s">
        <v>26</v>
      </c>
      <c r="B16" s="16" t="n">
        <v>98900</v>
      </c>
      <c r="C16" s="16" t="n">
        <v>99919.8</v>
      </c>
      <c r="D16" s="16" t="n">
        <v>100931.1</v>
      </c>
      <c r="E16" s="16" t="n">
        <v>101933.7</v>
      </c>
      <c r="F16" s="16" t="n">
        <v>102926.9</v>
      </c>
      <c r="G16" s="16" t="n">
        <v>103910.4</v>
      </c>
      <c r="H16" s="16" t="n">
        <v>104883.6</v>
      </c>
      <c r="I16" s="16" t="n">
        <v>105846.1</v>
      </c>
      <c r="J16" s="16" t="n">
        <v>106797.5</v>
      </c>
      <c r="K16" s="16" t="n">
        <v>107737.2</v>
      </c>
      <c r="L16" s="16" t="n">
        <v>108664.8</v>
      </c>
      <c r="M16" s="16" t="n">
        <v>109579.9</v>
      </c>
      <c r="N16" s="16" t="n">
        <v>110481.9</v>
      </c>
      <c r="O16" s="16" t="n">
        <v>111370.6</v>
      </c>
      <c r="P16" s="16" t="n">
        <v>112245.3</v>
      </c>
      <c r="Q16" s="16" t="n">
        <v>113105.6</v>
      </c>
      <c r="R16" s="16" t="n">
        <v>113951.2</v>
      </c>
      <c r="S16" s="16" t="n">
        <v>114781.6</v>
      </c>
      <c r="T16" s="16" t="n">
        <v>115596.3</v>
      </c>
      <c r="U16" s="16" t="n">
        <v>116394.9</v>
      </c>
      <c r="V16" s="16" t="n">
        <v>117177.1</v>
      </c>
      <c r="W16" s="16" t="n">
        <v>117942.4</v>
      </c>
      <c r="X16" s="16" t="n">
        <v>118690.4</v>
      </c>
      <c r="Y16" s="16" t="n">
        <v>119420.7</v>
      </c>
      <c r="Z16" s="16" t="n">
        <v>120132.9</v>
      </c>
      <c r="AA16" s="16" t="n">
        <v>120826.7</v>
      </c>
    </row>
    <row r="17" customFormat="false" ht="15" hidden="false" customHeight="true" outlineLevel="0" collapsed="false">
      <c r="A17" s="13" t="s">
        <v>27</v>
      </c>
      <c r="B17" s="14" t="n">
        <v>5100</v>
      </c>
      <c r="C17" s="14" t="n">
        <v>5170.1</v>
      </c>
      <c r="D17" s="14" t="n">
        <v>5239.9</v>
      </c>
      <c r="E17" s="14" t="n">
        <v>5309.3</v>
      </c>
      <c r="F17" s="14" t="n">
        <v>5378.3</v>
      </c>
      <c r="G17" s="14" t="n">
        <v>5446.8</v>
      </c>
      <c r="H17" s="14" t="n">
        <v>5514.8</v>
      </c>
      <c r="I17" s="14" t="n">
        <v>5582.3</v>
      </c>
      <c r="J17" s="14" t="n">
        <v>5649.2</v>
      </c>
      <c r="K17" s="14" t="n">
        <v>5715.5</v>
      </c>
      <c r="L17" s="14" t="n">
        <v>5781.1</v>
      </c>
      <c r="M17" s="14" t="n">
        <v>5846</v>
      </c>
      <c r="N17" s="14" t="n">
        <v>5910.1</v>
      </c>
      <c r="O17" s="14" t="n">
        <v>5973.5</v>
      </c>
      <c r="P17" s="14" t="n">
        <v>6036.1</v>
      </c>
      <c r="Q17" s="14" t="n">
        <v>6097.8</v>
      </c>
      <c r="R17" s="14" t="n">
        <v>6158.6</v>
      </c>
      <c r="S17" s="14" t="n">
        <v>6218.4</v>
      </c>
      <c r="T17" s="14" t="n">
        <v>6277.2</v>
      </c>
      <c r="U17" s="14" t="n">
        <v>6335.1</v>
      </c>
      <c r="V17" s="14" t="n">
        <v>6391.8</v>
      </c>
      <c r="W17" s="14" t="n">
        <v>6447.5</v>
      </c>
      <c r="X17" s="14" t="n">
        <v>6502</v>
      </c>
      <c r="Y17" s="14" t="n">
        <v>6555.4</v>
      </c>
      <c r="Z17" s="14" t="n">
        <v>6607.5</v>
      </c>
      <c r="AA17" s="14" t="n">
        <v>6658.4</v>
      </c>
    </row>
    <row r="18" customFormat="false" ht="15" hidden="false" customHeight="true" outlineLevel="0" collapsed="false">
      <c r="A18" s="15" t="s">
        <v>28</v>
      </c>
      <c r="B18" s="16" t="n">
        <v>3000</v>
      </c>
      <c r="C18" s="16" t="n">
        <v>3053</v>
      </c>
      <c r="D18" s="16" t="n">
        <v>3106</v>
      </c>
      <c r="E18" s="16" t="n">
        <v>3158.9</v>
      </c>
      <c r="F18" s="16" t="n">
        <v>3211.7</v>
      </c>
      <c r="G18" s="16" t="n">
        <v>3264.3</v>
      </c>
      <c r="H18" s="16" t="n">
        <v>3316.7</v>
      </c>
      <c r="I18" s="16" t="n">
        <v>3368.9</v>
      </c>
      <c r="J18" s="16" t="n">
        <v>3420.8</v>
      </c>
      <c r="K18" s="16" t="n">
        <v>3472.4</v>
      </c>
      <c r="L18" s="16" t="n">
        <v>3523.6</v>
      </c>
      <c r="M18" s="16" t="n">
        <v>3574.5</v>
      </c>
      <c r="N18" s="16" t="n">
        <v>3624.9</v>
      </c>
      <c r="O18" s="16" t="n">
        <v>3674.9</v>
      </c>
      <c r="P18" s="16" t="n">
        <v>3724.4</v>
      </c>
      <c r="Q18" s="16" t="n">
        <v>3773.3</v>
      </c>
      <c r="R18" s="16" t="n">
        <v>3821.7</v>
      </c>
      <c r="S18" s="16" t="n">
        <v>3869.4</v>
      </c>
      <c r="T18" s="16" t="n">
        <v>3916.5</v>
      </c>
      <c r="U18" s="16" t="n">
        <v>3962.9</v>
      </c>
      <c r="V18" s="16" t="n">
        <v>4008.5</v>
      </c>
      <c r="W18" s="16" t="n">
        <v>4053.4</v>
      </c>
      <c r="X18" s="16" t="n">
        <v>4097.5</v>
      </c>
      <c r="Y18" s="16" t="n">
        <v>4140.7</v>
      </c>
      <c r="Z18" s="16" t="n">
        <v>4183</v>
      </c>
      <c r="AA18" s="16" t="n">
        <v>4224.5</v>
      </c>
    </row>
    <row r="19" customFormat="false" ht="15" hidden="false" customHeight="true" outlineLevel="0" collapsed="false">
      <c r="A19" s="13" t="s">
        <v>29</v>
      </c>
      <c r="B19" s="14" t="n">
        <v>5300</v>
      </c>
      <c r="C19" s="14" t="n">
        <v>5380.7</v>
      </c>
      <c r="D19" s="14" t="n">
        <v>5461.1</v>
      </c>
      <c r="E19" s="14" t="n">
        <v>5541.1</v>
      </c>
      <c r="F19" s="14" t="n">
        <v>5620.8</v>
      </c>
      <c r="G19" s="14" t="n">
        <v>5700.1</v>
      </c>
      <c r="H19" s="14" t="n">
        <v>5778.9</v>
      </c>
      <c r="I19" s="14" t="n">
        <v>5857.2</v>
      </c>
      <c r="J19" s="14" t="n">
        <v>5934.9</v>
      </c>
      <c r="K19" s="14" t="n">
        <v>6012</v>
      </c>
      <c r="L19" s="14" t="n">
        <v>6088.4</v>
      </c>
      <c r="M19" s="14" t="n">
        <v>6164.1</v>
      </c>
      <c r="N19" s="14" t="n">
        <v>6239</v>
      </c>
      <c r="O19" s="14" t="n">
        <v>6313.1</v>
      </c>
      <c r="P19" s="14" t="n">
        <v>6386.3</v>
      </c>
      <c r="Q19" s="14" t="n">
        <v>6458.6</v>
      </c>
      <c r="R19" s="14" t="n">
        <v>6529.8</v>
      </c>
      <c r="S19" s="14" t="n">
        <v>6600.1</v>
      </c>
      <c r="T19" s="14" t="n">
        <v>6669.2</v>
      </c>
      <c r="U19" s="14" t="n">
        <v>6737.3</v>
      </c>
      <c r="V19" s="14" t="n">
        <v>6804.1</v>
      </c>
      <c r="W19" s="14" t="n">
        <v>6869.7</v>
      </c>
      <c r="X19" s="14" t="n">
        <v>6934</v>
      </c>
      <c r="Y19" s="14" t="n">
        <v>6997</v>
      </c>
      <c r="Z19" s="14" t="n">
        <v>7058.6</v>
      </c>
      <c r="AA19" s="14" t="n">
        <v>7118.8</v>
      </c>
    </row>
    <row r="20" customFormat="false" ht="15" hidden="false" customHeight="true" outlineLevel="0" collapsed="false">
      <c r="A20" s="15" t="s">
        <v>30</v>
      </c>
      <c r="B20" s="16" t="n">
        <v>26000</v>
      </c>
      <c r="C20" s="16" t="n">
        <v>26319.2</v>
      </c>
      <c r="D20" s="16" t="n">
        <v>26636.3</v>
      </c>
      <c r="E20" s="16" t="n">
        <v>26951.3</v>
      </c>
      <c r="F20" s="16" t="n">
        <v>27263.9</v>
      </c>
      <c r="G20" s="16" t="n">
        <v>27574</v>
      </c>
      <c r="H20" s="16" t="n">
        <v>27881.5</v>
      </c>
      <c r="I20" s="16" t="n">
        <v>28186.1</v>
      </c>
      <c r="J20" s="16" t="n">
        <v>28487.7</v>
      </c>
      <c r="K20" s="16" t="n">
        <v>28786.1</v>
      </c>
      <c r="L20" s="16" t="n">
        <v>29081.1</v>
      </c>
      <c r="M20" s="16" t="n">
        <v>29372.7</v>
      </c>
      <c r="N20" s="16" t="n">
        <v>29660.5</v>
      </c>
      <c r="O20" s="16" t="n">
        <v>29944.5</v>
      </c>
      <c r="P20" s="16" t="n">
        <v>30224.5</v>
      </c>
      <c r="Q20" s="16" t="n">
        <v>30500.3</v>
      </c>
      <c r="R20" s="16" t="n">
        <v>30771.8</v>
      </c>
      <c r="S20" s="16" t="n">
        <v>31038.7</v>
      </c>
      <c r="T20" s="16" t="n">
        <v>31301</v>
      </c>
      <c r="U20" s="16" t="n">
        <v>31558.4</v>
      </c>
      <c r="V20" s="16" t="n">
        <v>31810.9</v>
      </c>
      <c r="W20" s="16" t="n">
        <v>32058.2</v>
      </c>
      <c r="X20" s="16" t="n">
        <v>32300.3</v>
      </c>
      <c r="Y20" s="16" t="n">
        <v>32536.9</v>
      </c>
      <c r="Z20" s="16" t="n">
        <v>32767.9</v>
      </c>
      <c r="AA20" s="16" t="n">
        <v>32993.2</v>
      </c>
    </row>
    <row r="21" customFormat="false" ht="15" hidden="false" customHeight="true" outlineLevel="0" collapsed="false">
      <c r="A21" s="13" t="s">
        <v>31</v>
      </c>
      <c r="B21" s="14" t="n">
        <v>1270</v>
      </c>
      <c r="C21" s="14" t="n">
        <v>1274.4</v>
      </c>
      <c r="D21" s="14" t="n">
        <v>1278.7</v>
      </c>
      <c r="E21" s="14" t="n">
        <v>1282.9</v>
      </c>
      <c r="F21" s="14" t="n">
        <v>1287.1</v>
      </c>
      <c r="G21" s="14" t="n">
        <v>1291.2</v>
      </c>
      <c r="H21" s="14" t="n">
        <v>1295.2</v>
      </c>
      <c r="I21" s="14" t="n">
        <v>1299.2</v>
      </c>
      <c r="J21" s="14" t="n">
        <v>1303</v>
      </c>
      <c r="K21" s="14" t="n">
        <v>1306.9</v>
      </c>
      <c r="L21" s="14" t="n">
        <v>1310.6</v>
      </c>
      <c r="M21" s="14" t="n">
        <v>1314.3</v>
      </c>
      <c r="N21" s="14" t="n">
        <v>1317.9</v>
      </c>
      <c r="O21" s="14" t="n">
        <v>1321.4</v>
      </c>
      <c r="P21" s="14" t="n">
        <v>1324.9</v>
      </c>
      <c r="Q21" s="14" t="n">
        <v>1328.3</v>
      </c>
      <c r="R21" s="14" t="n">
        <v>1331.6</v>
      </c>
      <c r="S21" s="14" t="n">
        <v>1334.8</v>
      </c>
      <c r="T21" s="14" t="n">
        <v>1338</v>
      </c>
      <c r="U21" s="14" t="n">
        <v>1341.1</v>
      </c>
      <c r="V21" s="14" t="n">
        <v>1344.1</v>
      </c>
      <c r="W21" s="14" t="n">
        <v>1347</v>
      </c>
      <c r="X21" s="14" t="n">
        <v>1349.8</v>
      </c>
      <c r="Y21" s="14" t="n">
        <v>1352.6</v>
      </c>
      <c r="Z21" s="14" t="n">
        <v>1355.3</v>
      </c>
      <c r="AA21" s="14" t="n">
        <v>1357.9</v>
      </c>
    </row>
    <row r="22" customFormat="false" ht="15" hidden="false" customHeight="true" outlineLevel="0" collapsed="false">
      <c r="A22" s="15" t="s">
        <v>32</v>
      </c>
      <c r="B22" s="16" t="n">
        <v>3300</v>
      </c>
      <c r="C22" s="16" t="n">
        <v>3311.3</v>
      </c>
      <c r="D22" s="16" t="n">
        <v>3322.5</v>
      </c>
      <c r="E22" s="16" t="n">
        <v>3333.5</v>
      </c>
      <c r="F22" s="16" t="n">
        <v>3344.3</v>
      </c>
      <c r="G22" s="16" t="n">
        <v>3355</v>
      </c>
      <c r="H22" s="16" t="n">
        <v>3365.5</v>
      </c>
      <c r="I22" s="16" t="n">
        <v>3375.8</v>
      </c>
      <c r="J22" s="16" t="n">
        <v>3385.9</v>
      </c>
      <c r="K22" s="16" t="n">
        <v>3395.8</v>
      </c>
      <c r="L22" s="16" t="n">
        <v>3405.6</v>
      </c>
      <c r="M22" s="16" t="n">
        <v>3415.1</v>
      </c>
      <c r="N22" s="16" t="n">
        <v>3424.5</v>
      </c>
      <c r="O22" s="16" t="n">
        <v>3433.7</v>
      </c>
      <c r="P22" s="16" t="n">
        <v>3442.7</v>
      </c>
      <c r="Q22" s="16" t="n">
        <v>3451.5</v>
      </c>
      <c r="R22" s="16" t="n">
        <v>3460.1</v>
      </c>
      <c r="S22" s="16" t="n">
        <v>3468.5</v>
      </c>
      <c r="T22" s="16" t="n">
        <v>3476.7</v>
      </c>
      <c r="U22" s="16" t="n">
        <v>3484.7</v>
      </c>
      <c r="V22" s="16" t="n">
        <v>3492.5</v>
      </c>
      <c r="W22" s="16" t="n">
        <v>3500.1</v>
      </c>
      <c r="X22" s="16" t="n">
        <v>3507.5</v>
      </c>
      <c r="Y22" s="16" t="n">
        <v>3514.7</v>
      </c>
      <c r="Z22" s="16" t="n">
        <v>3521.7</v>
      </c>
      <c r="AA22" s="16" t="n">
        <v>3528.4</v>
      </c>
    </row>
    <row r="23" customFormat="false" ht="15" hidden="false" customHeight="true" outlineLevel="0" collapsed="false">
      <c r="A23" s="13" t="s">
        <v>33</v>
      </c>
      <c r="B23" s="14" t="n">
        <v>24500</v>
      </c>
      <c r="C23" s="14" t="n">
        <v>24716.5</v>
      </c>
      <c r="D23" s="14" t="n">
        <v>24931</v>
      </c>
      <c r="E23" s="14" t="n">
        <v>25143.2</v>
      </c>
      <c r="F23" s="14" t="n">
        <v>25353.2</v>
      </c>
      <c r="G23" s="14" t="n">
        <v>25560.9</v>
      </c>
      <c r="H23" s="14" t="n">
        <v>25766.1</v>
      </c>
      <c r="I23" s="14" t="n">
        <v>25968.8</v>
      </c>
      <c r="J23" s="14" t="n">
        <v>26168.8</v>
      </c>
      <c r="K23" s="14" t="n">
        <v>26366.2</v>
      </c>
      <c r="L23" s="14" t="n">
        <v>26560.8</v>
      </c>
      <c r="M23" s="14" t="n">
        <v>26752.5</v>
      </c>
      <c r="N23" s="14" t="n">
        <v>26941.2</v>
      </c>
      <c r="O23" s="14" t="n">
        <v>27127</v>
      </c>
      <c r="P23" s="14" t="n">
        <v>27309.6</v>
      </c>
      <c r="Q23" s="14" t="n">
        <v>27489</v>
      </c>
      <c r="R23" s="14" t="n">
        <v>27665.2</v>
      </c>
      <c r="S23" s="14" t="n">
        <v>27838</v>
      </c>
      <c r="T23" s="14" t="n">
        <v>28007.3</v>
      </c>
      <c r="U23" s="14" t="n">
        <v>28173.2</v>
      </c>
      <c r="V23" s="14" t="n">
        <v>28335.5</v>
      </c>
      <c r="W23" s="14" t="n">
        <v>28494.1</v>
      </c>
      <c r="X23" s="14" t="n">
        <v>28649</v>
      </c>
      <c r="Y23" s="14" t="n">
        <v>28800.1</v>
      </c>
      <c r="Z23" s="14" t="n">
        <v>28947.3</v>
      </c>
      <c r="AA23" s="14" t="n">
        <v>29090.6</v>
      </c>
    </row>
  </sheetData>
  <autoFilter ref="A2:AA23"/>
  <mergeCells count="1">
    <mergeCell ref="A1:AA1"/>
  </mergeCells>
  <conditionalFormatting sqref="B3:AA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BAA"/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7" min="2" style="1" width="10"/>
  </cols>
  <sheetData>
    <row r="1" customFormat="false" ht="21.75" hidden="false" customHeight="true" outlineLevel="0" collapsed="false">
      <c r="A1" s="10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customFormat="false" ht="25.5" hidden="false" customHeight="true" outlineLevel="0" collapsed="false">
      <c r="A2" s="11" t="s">
        <v>12</v>
      </c>
      <c r="B2" s="12" t="n">
        <v>2000</v>
      </c>
      <c r="C2" s="12" t="n">
        <v>2001</v>
      </c>
      <c r="D2" s="12" t="n">
        <v>2002</v>
      </c>
      <c r="E2" s="12" t="n">
        <v>2003</v>
      </c>
      <c r="F2" s="12" t="n">
        <v>2004</v>
      </c>
      <c r="G2" s="12" t="n">
        <v>2005</v>
      </c>
      <c r="H2" s="12" t="n">
        <v>2006</v>
      </c>
      <c r="I2" s="12" t="n">
        <v>2007</v>
      </c>
      <c r="J2" s="12" t="n">
        <v>2008</v>
      </c>
      <c r="K2" s="12" t="n">
        <v>2009</v>
      </c>
      <c r="L2" s="12" t="n">
        <v>2010</v>
      </c>
      <c r="M2" s="12" t="n">
        <v>2011</v>
      </c>
      <c r="N2" s="12" t="n">
        <v>2012</v>
      </c>
      <c r="O2" s="12" t="n">
        <v>2013</v>
      </c>
      <c r="P2" s="12" t="n">
        <v>2014</v>
      </c>
      <c r="Q2" s="12" t="n">
        <v>2015</v>
      </c>
      <c r="R2" s="12" t="n">
        <v>2016</v>
      </c>
      <c r="S2" s="12" t="n">
        <v>2017</v>
      </c>
      <c r="T2" s="12" t="n">
        <v>2018</v>
      </c>
      <c r="U2" s="12" t="n">
        <v>2019</v>
      </c>
      <c r="V2" s="12" t="n">
        <v>2020</v>
      </c>
      <c r="W2" s="12" t="n">
        <v>2021</v>
      </c>
      <c r="X2" s="12" t="n">
        <v>2022</v>
      </c>
      <c r="Y2" s="12" t="n">
        <v>2023</v>
      </c>
      <c r="Z2" s="12" t="n">
        <v>2024</v>
      </c>
      <c r="AA2" s="12" t="n">
        <v>2025</v>
      </c>
    </row>
    <row r="3" customFormat="false" ht="15" hidden="false" customHeight="true" outlineLevel="0" collapsed="false">
      <c r="A3" s="13" t="s">
        <v>13</v>
      </c>
      <c r="B3" s="17" t="n">
        <v>0.891</v>
      </c>
      <c r="C3" s="17" t="n">
        <v>0.8922</v>
      </c>
      <c r="D3" s="17" t="n">
        <v>0.8934</v>
      </c>
      <c r="E3" s="17" t="n">
        <v>0.8946</v>
      </c>
      <c r="F3" s="17" t="n">
        <v>0.8958</v>
      </c>
      <c r="G3" s="17" t="n">
        <v>0.897</v>
      </c>
      <c r="H3" s="17" t="n">
        <v>0.8982</v>
      </c>
      <c r="I3" s="17" t="n">
        <v>0.8994</v>
      </c>
      <c r="J3" s="17" t="n">
        <v>0.9006</v>
      </c>
      <c r="K3" s="17" t="n">
        <v>0.9018</v>
      </c>
      <c r="L3" s="17" t="n">
        <v>0.903</v>
      </c>
      <c r="M3" s="17" t="n">
        <v>0.9042</v>
      </c>
      <c r="N3" s="17" t="n">
        <v>0.9054</v>
      </c>
      <c r="O3" s="17" t="n">
        <v>0.9066</v>
      </c>
      <c r="P3" s="17" t="n">
        <v>0.9078</v>
      </c>
      <c r="Q3" s="17" t="n">
        <v>0.909</v>
      </c>
      <c r="R3" s="17" t="n">
        <v>0.9102</v>
      </c>
      <c r="S3" s="17" t="n">
        <v>0.9114</v>
      </c>
      <c r="T3" s="17" t="n">
        <v>0.9126</v>
      </c>
      <c r="U3" s="17" t="n">
        <v>0.9138</v>
      </c>
      <c r="V3" s="17" t="n">
        <v>0.915</v>
      </c>
      <c r="W3" s="17" t="n">
        <v>0.9162</v>
      </c>
      <c r="X3" s="17" t="n">
        <v>0.9174</v>
      </c>
      <c r="Y3" s="17" t="n">
        <v>0.9186</v>
      </c>
      <c r="Z3" s="17" t="n">
        <v>0.9198</v>
      </c>
      <c r="AA3" s="17" t="n">
        <v>0.921</v>
      </c>
    </row>
    <row r="4" customFormat="false" ht="15" hidden="false" customHeight="true" outlineLevel="0" collapsed="false">
      <c r="A4" s="15" t="s">
        <v>14</v>
      </c>
      <c r="B4" s="18" t="n">
        <v>0.618</v>
      </c>
      <c r="C4" s="18" t="n">
        <v>0.6222</v>
      </c>
      <c r="D4" s="18" t="n">
        <v>0.6264</v>
      </c>
      <c r="E4" s="18" t="n">
        <v>0.6306</v>
      </c>
      <c r="F4" s="18" t="n">
        <v>0.6348</v>
      </c>
      <c r="G4" s="18" t="n">
        <v>0.639</v>
      </c>
      <c r="H4" s="18" t="n">
        <v>0.6432</v>
      </c>
      <c r="I4" s="18" t="n">
        <v>0.6474</v>
      </c>
      <c r="J4" s="18" t="n">
        <v>0.6516</v>
      </c>
      <c r="K4" s="18" t="n">
        <v>0.6558</v>
      </c>
      <c r="L4" s="18" t="n">
        <v>0.66</v>
      </c>
      <c r="M4" s="18" t="n">
        <v>0.6642</v>
      </c>
      <c r="N4" s="18" t="n">
        <v>0.6684</v>
      </c>
      <c r="O4" s="18" t="n">
        <v>0.6726</v>
      </c>
      <c r="P4" s="18" t="n">
        <v>0.6768</v>
      </c>
      <c r="Q4" s="18" t="n">
        <v>0.681</v>
      </c>
      <c r="R4" s="18" t="n">
        <v>0.6852</v>
      </c>
      <c r="S4" s="18" t="n">
        <v>0.6894</v>
      </c>
      <c r="T4" s="18" t="n">
        <v>0.6936</v>
      </c>
      <c r="U4" s="18" t="n">
        <v>0.6978</v>
      </c>
      <c r="V4" s="18" t="n">
        <v>0.702</v>
      </c>
      <c r="W4" s="18" t="n">
        <v>0.7062</v>
      </c>
      <c r="X4" s="18" t="n">
        <v>0.7104</v>
      </c>
      <c r="Y4" s="18" t="n">
        <v>0.7146</v>
      </c>
      <c r="Z4" s="18" t="n">
        <v>0.7188</v>
      </c>
      <c r="AA4" s="18" t="n">
        <v>0.723</v>
      </c>
    </row>
    <row r="5" customFormat="false" ht="15" hidden="false" customHeight="true" outlineLevel="0" collapsed="false">
      <c r="A5" s="13" t="s">
        <v>15</v>
      </c>
      <c r="B5" s="17" t="n">
        <v>0.812</v>
      </c>
      <c r="C5" s="17" t="n">
        <v>0.8141</v>
      </c>
      <c r="D5" s="17" t="n">
        <v>0.8161</v>
      </c>
      <c r="E5" s="17" t="n">
        <v>0.8182</v>
      </c>
      <c r="F5" s="17" t="n">
        <v>0.8203</v>
      </c>
      <c r="G5" s="17" t="n">
        <v>0.8223</v>
      </c>
      <c r="H5" s="17" t="n">
        <v>0.8244</v>
      </c>
      <c r="I5" s="17" t="n">
        <v>0.8265</v>
      </c>
      <c r="J5" s="17" t="n">
        <v>0.8285</v>
      </c>
      <c r="K5" s="17" t="n">
        <v>0.8306</v>
      </c>
      <c r="L5" s="17" t="n">
        <v>0.8327</v>
      </c>
      <c r="M5" s="17" t="n">
        <v>0.8347</v>
      </c>
      <c r="N5" s="17" t="n">
        <v>0.8368</v>
      </c>
      <c r="O5" s="17" t="n">
        <v>0.8389</v>
      </c>
      <c r="P5" s="17" t="n">
        <v>0.841</v>
      </c>
      <c r="Q5" s="17" t="n">
        <v>0.843</v>
      </c>
      <c r="R5" s="17" t="n">
        <v>0.8451</v>
      </c>
      <c r="S5" s="17" t="n">
        <v>0.8472</v>
      </c>
      <c r="T5" s="17" t="n">
        <v>0.8492</v>
      </c>
      <c r="U5" s="17" t="n">
        <v>0.8513</v>
      </c>
      <c r="V5" s="17" t="n">
        <v>0.8534</v>
      </c>
      <c r="W5" s="17" t="n">
        <v>0.8554</v>
      </c>
      <c r="X5" s="17" t="n">
        <v>0.8575</v>
      </c>
      <c r="Y5" s="17" t="n">
        <v>0.8596</v>
      </c>
      <c r="Z5" s="17" t="n">
        <v>0.8616</v>
      </c>
      <c r="AA5" s="17" t="n">
        <v>0.8637</v>
      </c>
    </row>
    <row r="6" customFormat="false" ht="15" hidden="false" customHeight="true" outlineLevel="0" collapsed="false">
      <c r="A6" s="15" t="s">
        <v>16</v>
      </c>
      <c r="B6" s="18" t="n">
        <v>0.859</v>
      </c>
      <c r="C6" s="18" t="n">
        <v>0.8606</v>
      </c>
      <c r="D6" s="18" t="n">
        <v>0.8621</v>
      </c>
      <c r="E6" s="18" t="n">
        <v>0.8637</v>
      </c>
      <c r="F6" s="18" t="n">
        <v>0.8652</v>
      </c>
      <c r="G6" s="18" t="n">
        <v>0.8668</v>
      </c>
      <c r="H6" s="18" t="n">
        <v>0.8683</v>
      </c>
      <c r="I6" s="18" t="n">
        <v>0.8699</v>
      </c>
      <c r="J6" s="18" t="n">
        <v>0.8714</v>
      </c>
      <c r="K6" s="18" t="n">
        <v>0.873</v>
      </c>
      <c r="L6" s="18" t="n">
        <v>0.8745</v>
      </c>
      <c r="M6" s="18" t="n">
        <v>0.8761</v>
      </c>
      <c r="N6" s="18" t="n">
        <v>0.8776</v>
      </c>
      <c r="O6" s="18" t="n">
        <v>0.8792</v>
      </c>
      <c r="P6" s="18" t="n">
        <v>0.8807</v>
      </c>
      <c r="Q6" s="18" t="n">
        <v>0.8823</v>
      </c>
      <c r="R6" s="18" t="n">
        <v>0.8838</v>
      </c>
      <c r="S6" s="18" t="n">
        <v>0.8854</v>
      </c>
      <c r="T6" s="18" t="n">
        <v>0.8869</v>
      </c>
      <c r="U6" s="18" t="n">
        <v>0.8885</v>
      </c>
      <c r="V6" s="18" t="n">
        <v>0.89</v>
      </c>
      <c r="W6" s="18" t="n">
        <v>0.8916</v>
      </c>
      <c r="X6" s="18" t="n">
        <v>0.8931</v>
      </c>
      <c r="Y6" s="18" t="n">
        <v>0.8947</v>
      </c>
      <c r="Z6" s="18" t="n">
        <v>0.8962</v>
      </c>
      <c r="AA6" s="18" t="n">
        <v>0.8978</v>
      </c>
    </row>
    <row r="7" customFormat="false" ht="15" hidden="false" customHeight="true" outlineLevel="0" collapsed="false">
      <c r="A7" s="13" t="s">
        <v>17</v>
      </c>
      <c r="B7" s="17" t="n">
        <v>0.721</v>
      </c>
      <c r="C7" s="17" t="n">
        <v>0.7241</v>
      </c>
      <c r="D7" s="17" t="n">
        <v>0.7271</v>
      </c>
      <c r="E7" s="17" t="n">
        <v>0.7302</v>
      </c>
      <c r="F7" s="17" t="n">
        <v>0.7333</v>
      </c>
      <c r="G7" s="17" t="n">
        <v>0.7363</v>
      </c>
      <c r="H7" s="17" t="n">
        <v>0.7394</v>
      </c>
      <c r="I7" s="17" t="n">
        <v>0.7425</v>
      </c>
      <c r="J7" s="17" t="n">
        <v>0.7456</v>
      </c>
      <c r="K7" s="17" t="n">
        <v>0.7486</v>
      </c>
      <c r="L7" s="17" t="n">
        <v>0.7517</v>
      </c>
      <c r="M7" s="17" t="n">
        <v>0.7548</v>
      </c>
      <c r="N7" s="17" t="n">
        <v>0.7578</v>
      </c>
      <c r="O7" s="17" t="n">
        <v>0.7609</v>
      </c>
      <c r="P7" s="17" t="n">
        <v>0.764</v>
      </c>
      <c r="Q7" s="17" t="n">
        <v>0.767</v>
      </c>
      <c r="R7" s="17" t="n">
        <v>0.7701</v>
      </c>
      <c r="S7" s="17" t="n">
        <v>0.7732</v>
      </c>
      <c r="T7" s="17" t="n">
        <v>0.7762</v>
      </c>
      <c r="U7" s="17" t="n">
        <v>0.7793</v>
      </c>
      <c r="V7" s="17" t="n">
        <v>0.7824</v>
      </c>
      <c r="W7" s="17" t="n">
        <v>0.7854</v>
      </c>
      <c r="X7" s="17" t="n">
        <v>0.7885</v>
      </c>
      <c r="Y7" s="17" t="n">
        <v>0.7916</v>
      </c>
      <c r="Z7" s="17" t="n">
        <v>0.7947</v>
      </c>
      <c r="AA7" s="17" t="n">
        <v>0.7977</v>
      </c>
    </row>
    <row r="8" customFormat="false" ht="15" hidden="false" customHeight="true" outlineLevel="0" collapsed="false">
      <c r="A8" s="15" t="s">
        <v>18</v>
      </c>
      <c r="B8" s="18" t="n">
        <v>0.59</v>
      </c>
      <c r="C8" s="18" t="n">
        <v>0.5945</v>
      </c>
      <c r="D8" s="18" t="n">
        <v>0.599</v>
      </c>
      <c r="E8" s="18" t="n">
        <v>0.6035</v>
      </c>
      <c r="F8" s="18" t="n">
        <v>0.608</v>
      </c>
      <c r="G8" s="18" t="n">
        <v>0.6126</v>
      </c>
      <c r="H8" s="18" t="n">
        <v>0.6171</v>
      </c>
      <c r="I8" s="18" t="n">
        <v>0.6216</v>
      </c>
      <c r="J8" s="18" t="n">
        <v>0.6261</v>
      </c>
      <c r="K8" s="18" t="n">
        <v>0.6306</v>
      </c>
      <c r="L8" s="18" t="n">
        <v>0.6351</v>
      </c>
      <c r="M8" s="18" t="n">
        <v>0.6396</v>
      </c>
      <c r="N8" s="18" t="n">
        <v>0.6441</v>
      </c>
      <c r="O8" s="18" t="n">
        <v>0.6486</v>
      </c>
      <c r="P8" s="18" t="n">
        <v>0.6531</v>
      </c>
      <c r="Q8" s="18" t="n">
        <v>0.6577</v>
      </c>
      <c r="R8" s="18" t="n">
        <v>0.6622</v>
      </c>
      <c r="S8" s="18" t="n">
        <v>0.6667</v>
      </c>
      <c r="T8" s="18" t="n">
        <v>0.6712</v>
      </c>
      <c r="U8" s="18" t="n">
        <v>0.6757</v>
      </c>
      <c r="V8" s="18" t="n">
        <v>0.6802</v>
      </c>
      <c r="W8" s="18" t="n">
        <v>0.6847</v>
      </c>
      <c r="X8" s="18" t="n">
        <v>0.6892</v>
      </c>
      <c r="Y8" s="18" t="n">
        <v>0.6937</v>
      </c>
      <c r="Z8" s="18" t="n">
        <v>0.6982</v>
      </c>
      <c r="AA8" s="18" t="n">
        <v>0.7028</v>
      </c>
    </row>
    <row r="9" customFormat="false" ht="15" hidden="false" customHeight="true" outlineLevel="0" collapsed="false">
      <c r="A9" s="13" t="s">
        <v>19</v>
      </c>
      <c r="B9" s="17" t="n">
        <v>0.756</v>
      </c>
      <c r="C9" s="17" t="n">
        <v>0.7587</v>
      </c>
      <c r="D9" s="17" t="n">
        <v>0.7614</v>
      </c>
      <c r="E9" s="17" t="n">
        <v>0.7641</v>
      </c>
      <c r="F9" s="17" t="n">
        <v>0.7667</v>
      </c>
      <c r="G9" s="17" t="n">
        <v>0.7694</v>
      </c>
      <c r="H9" s="17" t="n">
        <v>0.7721</v>
      </c>
      <c r="I9" s="17" t="n">
        <v>0.7748</v>
      </c>
      <c r="J9" s="17" t="n">
        <v>0.7775</v>
      </c>
      <c r="K9" s="17" t="n">
        <v>0.7802</v>
      </c>
      <c r="L9" s="17" t="n">
        <v>0.7828</v>
      </c>
      <c r="M9" s="17" t="n">
        <v>0.7855</v>
      </c>
      <c r="N9" s="17" t="n">
        <v>0.7882</v>
      </c>
      <c r="O9" s="17" t="n">
        <v>0.7909</v>
      </c>
      <c r="P9" s="17" t="n">
        <v>0.7936</v>
      </c>
      <c r="Q9" s="17" t="n">
        <v>0.7963</v>
      </c>
      <c r="R9" s="17" t="n">
        <v>0.7989</v>
      </c>
      <c r="S9" s="17" t="n">
        <v>0.8016</v>
      </c>
      <c r="T9" s="17" t="n">
        <v>0.8043</v>
      </c>
      <c r="U9" s="17" t="n">
        <v>0.807</v>
      </c>
      <c r="V9" s="17" t="n">
        <v>0.8097</v>
      </c>
      <c r="W9" s="17" t="n">
        <v>0.8124</v>
      </c>
      <c r="X9" s="17" t="n">
        <v>0.815</v>
      </c>
      <c r="Y9" s="17" t="n">
        <v>0.8177</v>
      </c>
      <c r="Z9" s="17" t="n">
        <v>0.8204</v>
      </c>
      <c r="AA9" s="17" t="n">
        <v>0.8231</v>
      </c>
    </row>
    <row r="10" customFormat="false" ht="15" hidden="false" customHeight="true" outlineLevel="0" collapsed="false">
      <c r="A10" s="15" t="s">
        <v>20</v>
      </c>
      <c r="B10" s="18" t="n">
        <v>0.616</v>
      </c>
      <c r="C10" s="18" t="n">
        <v>0.6202</v>
      </c>
      <c r="D10" s="18" t="n">
        <v>0.6244</v>
      </c>
      <c r="E10" s="18" t="n">
        <v>0.6287</v>
      </c>
      <c r="F10" s="18" t="n">
        <v>0.6329</v>
      </c>
      <c r="G10" s="18" t="n">
        <v>0.6371</v>
      </c>
      <c r="H10" s="18" t="n">
        <v>0.6413</v>
      </c>
      <c r="I10" s="18" t="n">
        <v>0.6456</v>
      </c>
      <c r="J10" s="18" t="n">
        <v>0.6498</v>
      </c>
      <c r="K10" s="18" t="n">
        <v>0.654</v>
      </c>
      <c r="L10" s="18" t="n">
        <v>0.6582</v>
      </c>
      <c r="M10" s="18" t="n">
        <v>0.6625</v>
      </c>
      <c r="N10" s="18" t="n">
        <v>0.6667</v>
      </c>
      <c r="O10" s="18" t="n">
        <v>0.6709</v>
      </c>
      <c r="P10" s="18" t="n">
        <v>0.6751</v>
      </c>
      <c r="Q10" s="18" t="n">
        <v>0.6794</v>
      </c>
      <c r="R10" s="18" t="n">
        <v>0.6836</v>
      </c>
      <c r="S10" s="18" t="n">
        <v>0.6878</v>
      </c>
      <c r="T10" s="18" t="n">
        <v>0.692</v>
      </c>
      <c r="U10" s="18" t="n">
        <v>0.6963</v>
      </c>
      <c r="V10" s="18" t="n">
        <v>0.7005</v>
      </c>
      <c r="W10" s="18" t="n">
        <v>0.7047</v>
      </c>
      <c r="X10" s="18" t="n">
        <v>0.7089</v>
      </c>
      <c r="Y10" s="18" t="n">
        <v>0.7132</v>
      </c>
      <c r="Z10" s="18" t="n">
        <v>0.7174</v>
      </c>
      <c r="AA10" s="18" t="n">
        <v>0.7216</v>
      </c>
    </row>
    <row r="11" customFormat="false" ht="15" hidden="false" customHeight="true" outlineLevel="0" collapsed="false">
      <c r="A11" s="13" t="s">
        <v>21</v>
      </c>
      <c r="B11" s="17" t="n">
        <v>0.603</v>
      </c>
      <c r="C11" s="17" t="n">
        <v>0.6074</v>
      </c>
      <c r="D11" s="17" t="n">
        <v>0.6117</v>
      </c>
      <c r="E11" s="17" t="n">
        <v>0.6161</v>
      </c>
      <c r="F11" s="17" t="n">
        <v>0.6205</v>
      </c>
      <c r="G11" s="17" t="n">
        <v>0.6248</v>
      </c>
      <c r="H11" s="17" t="n">
        <v>0.6292</v>
      </c>
      <c r="I11" s="17" t="n">
        <v>0.6336</v>
      </c>
      <c r="J11" s="17" t="n">
        <v>0.6379</v>
      </c>
      <c r="K11" s="17" t="n">
        <v>0.6423</v>
      </c>
      <c r="L11" s="17" t="n">
        <v>0.6467</v>
      </c>
      <c r="M11" s="17" t="n">
        <v>0.651</v>
      </c>
      <c r="N11" s="17" t="n">
        <v>0.6554</v>
      </c>
      <c r="O11" s="17" t="n">
        <v>0.6598</v>
      </c>
      <c r="P11" s="17" t="n">
        <v>0.6641</v>
      </c>
      <c r="Q11" s="17" t="n">
        <v>0.6685</v>
      </c>
      <c r="R11" s="17" t="n">
        <v>0.6729</v>
      </c>
      <c r="S11" s="17" t="n">
        <v>0.6772</v>
      </c>
      <c r="T11" s="17" t="n">
        <v>0.6816</v>
      </c>
      <c r="U11" s="17" t="n">
        <v>0.686</v>
      </c>
      <c r="V11" s="17" t="n">
        <v>0.6903</v>
      </c>
      <c r="W11" s="17" t="n">
        <v>0.6947</v>
      </c>
      <c r="X11" s="17" t="n">
        <v>0.6991</v>
      </c>
      <c r="Y11" s="17" t="n">
        <v>0.7034</v>
      </c>
      <c r="Z11" s="17" t="n">
        <v>0.7078</v>
      </c>
      <c r="AA11" s="17" t="n">
        <v>0.7122</v>
      </c>
    </row>
    <row r="12" customFormat="false" ht="15" hidden="false" customHeight="true" outlineLevel="0" collapsed="false">
      <c r="A12" s="15" t="s">
        <v>22</v>
      </c>
      <c r="B12" s="18" t="n">
        <v>0.589</v>
      </c>
      <c r="C12" s="18" t="n">
        <v>0.5935</v>
      </c>
      <c r="D12" s="18" t="n">
        <v>0.598</v>
      </c>
      <c r="E12" s="18" t="n">
        <v>0.6026</v>
      </c>
      <c r="F12" s="18" t="n">
        <v>0.6071</v>
      </c>
      <c r="G12" s="18" t="n">
        <v>0.6116</v>
      </c>
      <c r="H12" s="18" t="n">
        <v>0.6161</v>
      </c>
      <c r="I12" s="18" t="n">
        <v>0.6206</v>
      </c>
      <c r="J12" s="18" t="n">
        <v>0.6252</v>
      </c>
      <c r="K12" s="18" t="n">
        <v>0.6297</v>
      </c>
      <c r="L12" s="18" t="n">
        <v>0.6342</v>
      </c>
      <c r="M12" s="18" t="n">
        <v>0.6387</v>
      </c>
      <c r="N12" s="18" t="n">
        <v>0.6433</v>
      </c>
      <c r="O12" s="18" t="n">
        <v>0.6478</v>
      </c>
      <c r="P12" s="18" t="n">
        <v>0.6523</v>
      </c>
      <c r="Q12" s="18" t="n">
        <v>0.6568</v>
      </c>
      <c r="R12" s="18" t="n">
        <v>0.6613</v>
      </c>
      <c r="S12" s="18" t="n">
        <v>0.6659</v>
      </c>
      <c r="T12" s="18" t="n">
        <v>0.6704</v>
      </c>
      <c r="U12" s="18" t="n">
        <v>0.6749</v>
      </c>
      <c r="V12" s="18" t="n">
        <v>0.6794</v>
      </c>
      <c r="W12" s="18" t="n">
        <v>0.6839</v>
      </c>
      <c r="X12" s="18" t="n">
        <v>0.6885</v>
      </c>
      <c r="Y12" s="18" t="n">
        <v>0.693</v>
      </c>
      <c r="Z12" s="18" t="n">
        <v>0.6975</v>
      </c>
      <c r="AA12" s="18" t="n">
        <v>0.702</v>
      </c>
    </row>
    <row r="13" customFormat="false" ht="15" hidden="false" customHeight="true" outlineLevel="0" collapsed="false">
      <c r="A13" s="13" t="s">
        <v>23</v>
      </c>
      <c r="B13" s="17" t="n">
        <v>0.451</v>
      </c>
      <c r="C13" s="17" t="n">
        <v>0.457</v>
      </c>
      <c r="D13" s="17" t="n">
        <v>0.4631</v>
      </c>
      <c r="E13" s="17" t="n">
        <v>0.4691</v>
      </c>
      <c r="F13" s="17" t="n">
        <v>0.4752</v>
      </c>
      <c r="G13" s="17" t="n">
        <v>0.4812</v>
      </c>
      <c r="H13" s="17" t="n">
        <v>0.4872</v>
      </c>
      <c r="I13" s="17" t="n">
        <v>0.4933</v>
      </c>
      <c r="J13" s="17" t="n">
        <v>0.4993</v>
      </c>
      <c r="K13" s="17" t="n">
        <v>0.5054</v>
      </c>
      <c r="L13" s="17" t="n">
        <v>0.5114</v>
      </c>
      <c r="M13" s="17" t="n">
        <v>0.5174</v>
      </c>
      <c r="N13" s="17" t="n">
        <v>0.5235</v>
      </c>
      <c r="O13" s="17" t="n">
        <v>0.5295</v>
      </c>
      <c r="P13" s="17" t="n">
        <v>0.5355</v>
      </c>
      <c r="Q13" s="17" t="n">
        <v>0.5416</v>
      </c>
      <c r="R13" s="17" t="n">
        <v>0.5476</v>
      </c>
      <c r="S13" s="17" t="n">
        <v>0.5537</v>
      </c>
      <c r="T13" s="17" t="n">
        <v>0.5597</v>
      </c>
      <c r="U13" s="17" t="n">
        <v>0.5657</v>
      </c>
      <c r="V13" s="17" t="n">
        <v>0.5718</v>
      </c>
      <c r="W13" s="17" t="n">
        <v>0.5778</v>
      </c>
      <c r="X13" s="17" t="n">
        <v>0.5839</v>
      </c>
      <c r="Y13" s="17" t="n">
        <v>0.5899</v>
      </c>
      <c r="Z13" s="17" t="n">
        <v>0.5959</v>
      </c>
      <c r="AA13" s="17" t="n">
        <v>0.602</v>
      </c>
    </row>
    <row r="14" customFormat="false" ht="15" hidden="false" customHeight="true" outlineLevel="0" collapsed="false">
      <c r="A14" s="15" t="s">
        <v>24</v>
      </c>
      <c r="B14" s="18" t="n">
        <v>0.455</v>
      </c>
      <c r="C14" s="18" t="n">
        <v>0.461</v>
      </c>
      <c r="D14" s="18" t="n">
        <v>0.467</v>
      </c>
      <c r="E14" s="18" t="n">
        <v>0.473</v>
      </c>
      <c r="F14" s="18" t="n">
        <v>0.479</v>
      </c>
      <c r="G14" s="18" t="n">
        <v>0.485</v>
      </c>
      <c r="H14" s="18" t="n">
        <v>0.491</v>
      </c>
      <c r="I14" s="18" t="n">
        <v>0.497</v>
      </c>
      <c r="J14" s="18" t="n">
        <v>0.503</v>
      </c>
      <c r="K14" s="18" t="n">
        <v>0.509</v>
      </c>
      <c r="L14" s="18" t="n">
        <v>0.515</v>
      </c>
      <c r="M14" s="18" t="n">
        <v>0.5209</v>
      </c>
      <c r="N14" s="18" t="n">
        <v>0.5269</v>
      </c>
      <c r="O14" s="18" t="n">
        <v>0.5329</v>
      </c>
      <c r="P14" s="18" t="n">
        <v>0.5389</v>
      </c>
      <c r="Q14" s="18" t="n">
        <v>0.5449</v>
      </c>
      <c r="R14" s="18" t="n">
        <v>0.5509</v>
      </c>
      <c r="S14" s="18" t="n">
        <v>0.5569</v>
      </c>
      <c r="T14" s="18" t="n">
        <v>0.5629</v>
      </c>
      <c r="U14" s="18" t="n">
        <v>0.5689</v>
      </c>
      <c r="V14" s="18" t="n">
        <v>0.5749</v>
      </c>
      <c r="W14" s="18" t="n">
        <v>0.5809</v>
      </c>
      <c r="X14" s="18" t="n">
        <v>0.5869</v>
      </c>
      <c r="Y14" s="18" t="n">
        <v>0.5929</v>
      </c>
      <c r="Z14" s="18" t="n">
        <v>0.5989</v>
      </c>
      <c r="AA14" s="18" t="n">
        <v>0.6049</v>
      </c>
    </row>
    <row r="15" customFormat="false" ht="15" hidden="false" customHeight="true" outlineLevel="0" collapsed="false">
      <c r="A15" s="13" t="s">
        <v>25</v>
      </c>
      <c r="B15" s="17" t="n">
        <v>0.518</v>
      </c>
      <c r="C15" s="17" t="n">
        <v>0.5233</v>
      </c>
      <c r="D15" s="17" t="n">
        <v>0.5286</v>
      </c>
      <c r="E15" s="17" t="n">
        <v>0.5339</v>
      </c>
      <c r="F15" s="17" t="n">
        <v>0.5392</v>
      </c>
      <c r="G15" s="17" t="n">
        <v>0.5445</v>
      </c>
      <c r="H15" s="17" t="n">
        <v>0.5498</v>
      </c>
      <c r="I15" s="17" t="n">
        <v>0.5551</v>
      </c>
      <c r="J15" s="17" t="n">
        <v>0.5604</v>
      </c>
      <c r="K15" s="17" t="n">
        <v>0.5657</v>
      </c>
      <c r="L15" s="17" t="n">
        <v>0.571</v>
      </c>
      <c r="M15" s="17" t="n">
        <v>0.5763</v>
      </c>
      <c r="N15" s="17" t="n">
        <v>0.5816</v>
      </c>
      <c r="O15" s="17" t="n">
        <v>0.5869</v>
      </c>
      <c r="P15" s="17" t="n">
        <v>0.5922</v>
      </c>
      <c r="Q15" s="17" t="n">
        <v>0.5975</v>
      </c>
      <c r="R15" s="17" t="n">
        <v>0.6028</v>
      </c>
      <c r="S15" s="17" t="n">
        <v>0.6081</v>
      </c>
      <c r="T15" s="17" t="n">
        <v>0.6134</v>
      </c>
      <c r="U15" s="17" t="n">
        <v>0.6187</v>
      </c>
      <c r="V15" s="17" t="n">
        <v>0.624</v>
      </c>
      <c r="W15" s="17" t="n">
        <v>0.6293</v>
      </c>
      <c r="X15" s="17" t="n">
        <v>0.6346</v>
      </c>
      <c r="Y15" s="17" t="n">
        <v>0.6399</v>
      </c>
      <c r="Z15" s="17" t="n">
        <v>0.6452</v>
      </c>
      <c r="AA15" s="17" t="n">
        <v>0.6506</v>
      </c>
    </row>
    <row r="16" customFormat="false" ht="15" hidden="false" customHeight="true" outlineLevel="0" collapsed="false">
      <c r="A16" s="15" t="s">
        <v>26</v>
      </c>
      <c r="B16" s="18" t="n">
        <v>0.747</v>
      </c>
      <c r="C16" s="18" t="n">
        <v>0.7498</v>
      </c>
      <c r="D16" s="18" t="n">
        <v>0.7526</v>
      </c>
      <c r="E16" s="18" t="n">
        <v>0.7553</v>
      </c>
      <c r="F16" s="18" t="n">
        <v>0.7581</v>
      </c>
      <c r="G16" s="18" t="n">
        <v>0.7609</v>
      </c>
      <c r="H16" s="18" t="n">
        <v>0.7637</v>
      </c>
      <c r="I16" s="18" t="n">
        <v>0.7665</v>
      </c>
      <c r="J16" s="18" t="n">
        <v>0.7693</v>
      </c>
      <c r="K16" s="18" t="n">
        <v>0.772</v>
      </c>
      <c r="L16" s="18" t="n">
        <v>0.7748</v>
      </c>
      <c r="M16" s="18" t="n">
        <v>0.7776</v>
      </c>
      <c r="N16" s="18" t="n">
        <v>0.7804</v>
      </c>
      <c r="O16" s="18" t="n">
        <v>0.7832</v>
      </c>
      <c r="P16" s="18" t="n">
        <v>0.786</v>
      </c>
      <c r="Q16" s="18" t="n">
        <v>0.7887</v>
      </c>
      <c r="R16" s="18" t="n">
        <v>0.7915</v>
      </c>
      <c r="S16" s="18" t="n">
        <v>0.7943</v>
      </c>
      <c r="T16" s="18" t="n">
        <v>0.7971</v>
      </c>
      <c r="U16" s="18" t="n">
        <v>0.7999</v>
      </c>
      <c r="V16" s="18" t="n">
        <v>0.8027</v>
      </c>
      <c r="W16" s="18" t="n">
        <v>0.8054</v>
      </c>
      <c r="X16" s="18" t="n">
        <v>0.8082</v>
      </c>
      <c r="Y16" s="18" t="n">
        <v>0.811</v>
      </c>
      <c r="Z16" s="18" t="n">
        <v>0.8138</v>
      </c>
      <c r="AA16" s="18" t="n">
        <v>0.8166</v>
      </c>
    </row>
    <row r="17" customFormat="false" ht="15" hidden="false" customHeight="true" outlineLevel="0" collapsed="false">
      <c r="A17" s="13" t="s">
        <v>27</v>
      </c>
      <c r="B17" s="17" t="n">
        <v>0.552</v>
      </c>
      <c r="C17" s="17" t="n">
        <v>0.5569</v>
      </c>
      <c r="D17" s="17" t="n">
        <v>0.5619</v>
      </c>
      <c r="E17" s="17" t="n">
        <v>0.5668</v>
      </c>
      <c r="F17" s="17" t="n">
        <v>0.5717</v>
      </c>
      <c r="G17" s="17" t="n">
        <v>0.5766</v>
      </c>
      <c r="H17" s="17" t="n">
        <v>0.5816</v>
      </c>
      <c r="I17" s="17" t="n">
        <v>0.5865</v>
      </c>
      <c r="J17" s="17" t="n">
        <v>0.5914</v>
      </c>
      <c r="K17" s="17" t="n">
        <v>0.5964</v>
      </c>
      <c r="L17" s="17" t="n">
        <v>0.6013</v>
      </c>
      <c r="M17" s="17" t="n">
        <v>0.6062</v>
      </c>
      <c r="N17" s="17" t="n">
        <v>0.6111</v>
      </c>
      <c r="O17" s="17" t="n">
        <v>0.6161</v>
      </c>
      <c r="P17" s="17" t="n">
        <v>0.621</v>
      </c>
      <c r="Q17" s="17" t="n">
        <v>0.6259</v>
      </c>
      <c r="R17" s="17" t="n">
        <v>0.6308</v>
      </c>
      <c r="S17" s="17" t="n">
        <v>0.6358</v>
      </c>
      <c r="T17" s="17" t="n">
        <v>0.6407</v>
      </c>
      <c r="U17" s="17" t="n">
        <v>0.6456</v>
      </c>
      <c r="V17" s="17" t="n">
        <v>0.6506</v>
      </c>
      <c r="W17" s="17" t="n">
        <v>0.6555</v>
      </c>
      <c r="X17" s="17" t="n">
        <v>0.6604</v>
      </c>
      <c r="Y17" s="17" t="n">
        <v>0.6653</v>
      </c>
      <c r="Z17" s="17" t="n">
        <v>0.6703</v>
      </c>
      <c r="AA17" s="17" t="n">
        <v>0.6752</v>
      </c>
    </row>
    <row r="18" customFormat="false" ht="15" hidden="false" customHeight="true" outlineLevel="0" collapsed="false">
      <c r="A18" s="15" t="s">
        <v>28</v>
      </c>
      <c r="B18" s="18" t="n">
        <v>0.624</v>
      </c>
      <c r="C18" s="18" t="n">
        <v>0.6281</v>
      </c>
      <c r="D18" s="18" t="n">
        <v>0.6323</v>
      </c>
      <c r="E18" s="18" t="n">
        <v>0.6364</v>
      </c>
      <c r="F18" s="18" t="n">
        <v>0.6405</v>
      </c>
      <c r="G18" s="18" t="n">
        <v>0.6447</v>
      </c>
      <c r="H18" s="18" t="n">
        <v>0.6488</v>
      </c>
      <c r="I18" s="18" t="n">
        <v>0.653</v>
      </c>
      <c r="J18" s="18" t="n">
        <v>0.6571</v>
      </c>
      <c r="K18" s="18" t="n">
        <v>0.6612</v>
      </c>
      <c r="L18" s="18" t="n">
        <v>0.6654</v>
      </c>
      <c r="M18" s="18" t="n">
        <v>0.6695</v>
      </c>
      <c r="N18" s="18" t="n">
        <v>0.6736</v>
      </c>
      <c r="O18" s="18" t="n">
        <v>0.6778</v>
      </c>
      <c r="P18" s="18" t="n">
        <v>0.6819</v>
      </c>
      <c r="Q18" s="18" t="n">
        <v>0.686</v>
      </c>
      <c r="R18" s="18" t="n">
        <v>0.6902</v>
      </c>
      <c r="S18" s="18" t="n">
        <v>0.6943</v>
      </c>
      <c r="T18" s="18" t="n">
        <v>0.6984</v>
      </c>
      <c r="U18" s="18" t="n">
        <v>0.7026</v>
      </c>
      <c r="V18" s="18" t="n">
        <v>0.7067</v>
      </c>
      <c r="W18" s="18" t="n">
        <v>0.7109</v>
      </c>
      <c r="X18" s="18" t="n">
        <v>0.715</v>
      </c>
      <c r="Y18" s="18" t="n">
        <v>0.7191</v>
      </c>
      <c r="Z18" s="18" t="n">
        <v>0.7233</v>
      </c>
      <c r="AA18" s="18" t="n">
        <v>0.7274</v>
      </c>
    </row>
    <row r="19" customFormat="false" ht="15" hidden="false" customHeight="true" outlineLevel="0" collapsed="false">
      <c r="A19" s="13" t="s">
        <v>29</v>
      </c>
      <c r="B19" s="17" t="n">
        <v>0.553</v>
      </c>
      <c r="C19" s="17" t="n">
        <v>0.5579</v>
      </c>
      <c r="D19" s="17" t="n">
        <v>0.5628</v>
      </c>
      <c r="E19" s="17" t="n">
        <v>0.5678</v>
      </c>
      <c r="F19" s="17" t="n">
        <v>0.5727</v>
      </c>
      <c r="G19" s="17" t="n">
        <v>0.5776</v>
      </c>
      <c r="H19" s="17" t="n">
        <v>0.5825</v>
      </c>
      <c r="I19" s="17" t="n">
        <v>0.5874</v>
      </c>
      <c r="J19" s="17" t="n">
        <v>0.5923</v>
      </c>
      <c r="K19" s="17" t="n">
        <v>0.5973</v>
      </c>
      <c r="L19" s="17" t="n">
        <v>0.6022</v>
      </c>
      <c r="M19" s="17" t="n">
        <v>0.6071</v>
      </c>
      <c r="N19" s="17" t="n">
        <v>0.612</v>
      </c>
      <c r="O19" s="17" t="n">
        <v>0.6169</v>
      </c>
      <c r="P19" s="17" t="n">
        <v>0.6218</v>
      </c>
      <c r="Q19" s="17" t="n">
        <v>0.6268</v>
      </c>
      <c r="R19" s="17" t="n">
        <v>0.6317</v>
      </c>
      <c r="S19" s="17" t="n">
        <v>0.6366</v>
      </c>
      <c r="T19" s="17" t="n">
        <v>0.6415</v>
      </c>
      <c r="U19" s="17" t="n">
        <v>0.6464</v>
      </c>
      <c r="V19" s="17" t="n">
        <v>0.6513</v>
      </c>
      <c r="W19" s="17" t="n">
        <v>0.6563</v>
      </c>
      <c r="X19" s="17" t="n">
        <v>0.6612</v>
      </c>
      <c r="Y19" s="17" t="n">
        <v>0.6661</v>
      </c>
      <c r="Z19" s="17" t="n">
        <v>0.671</v>
      </c>
      <c r="AA19" s="17" t="n">
        <v>0.6759</v>
      </c>
    </row>
    <row r="20" customFormat="false" ht="15" hidden="false" customHeight="true" outlineLevel="0" collapsed="false">
      <c r="A20" s="15" t="s">
        <v>30</v>
      </c>
      <c r="B20" s="18" t="n">
        <v>0.73</v>
      </c>
      <c r="C20" s="18" t="n">
        <v>0.733</v>
      </c>
      <c r="D20" s="18" t="n">
        <v>0.7359</v>
      </c>
      <c r="E20" s="18" t="n">
        <v>0.7389</v>
      </c>
      <c r="F20" s="18" t="n">
        <v>0.7419</v>
      </c>
      <c r="G20" s="18" t="n">
        <v>0.7448</v>
      </c>
      <c r="H20" s="18" t="n">
        <v>0.7478</v>
      </c>
      <c r="I20" s="18" t="n">
        <v>0.7508</v>
      </c>
      <c r="J20" s="18" t="n">
        <v>0.7538</v>
      </c>
      <c r="K20" s="18" t="n">
        <v>0.7567</v>
      </c>
      <c r="L20" s="18" t="n">
        <v>0.7597</v>
      </c>
      <c r="M20" s="18" t="n">
        <v>0.7627</v>
      </c>
      <c r="N20" s="18" t="n">
        <v>0.7656</v>
      </c>
      <c r="O20" s="18" t="n">
        <v>0.7686</v>
      </c>
      <c r="P20" s="18" t="n">
        <v>0.7716</v>
      </c>
      <c r="Q20" s="18" t="n">
        <v>0.7746</v>
      </c>
      <c r="R20" s="18" t="n">
        <v>0.7775</v>
      </c>
      <c r="S20" s="18" t="n">
        <v>0.7805</v>
      </c>
      <c r="T20" s="18" t="n">
        <v>0.7835</v>
      </c>
      <c r="U20" s="18" t="n">
        <v>0.7864</v>
      </c>
      <c r="V20" s="18" t="n">
        <v>0.7894</v>
      </c>
      <c r="W20" s="18" t="n">
        <v>0.7924</v>
      </c>
      <c r="X20" s="18" t="n">
        <v>0.7953</v>
      </c>
      <c r="Y20" s="18" t="n">
        <v>0.7983</v>
      </c>
      <c r="Z20" s="18" t="n">
        <v>0.8013</v>
      </c>
      <c r="AA20" s="18" t="n">
        <v>0.8042</v>
      </c>
    </row>
    <row r="21" customFormat="false" ht="15" hidden="false" customHeight="true" outlineLevel="0" collapsed="false">
      <c r="A21" s="13" t="s">
        <v>31</v>
      </c>
      <c r="B21" s="17" t="n">
        <v>0.55</v>
      </c>
      <c r="C21" s="17" t="n">
        <v>0.5549</v>
      </c>
      <c r="D21" s="17" t="n">
        <v>0.5599</v>
      </c>
      <c r="E21" s="17" t="n">
        <v>0.5648</v>
      </c>
      <c r="F21" s="17" t="n">
        <v>0.5698</v>
      </c>
      <c r="G21" s="17" t="n">
        <v>0.5748</v>
      </c>
      <c r="H21" s="17" t="n">
        <v>0.5797</v>
      </c>
      <c r="I21" s="17" t="n">
        <v>0.5846</v>
      </c>
      <c r="J21" s="17" t="n">
        <v>0.5896</v>
      </c>
      <c r="K21" s="17" t="n">
        <v>0.5946</v>
      </c>
      <c r="L21" s="17" t="n">
        <v>0.5995</v>
      </c>
      <c r="M21" s="17" t="n">
        <v>0.6044</v>
      </c>
      <c r="N21" s="17" t="n">
        <v>0.6094</v>
      </c>
      <c r="O21" s="17" t="n">
        <v>0.6144</v>
      </c>
      <c r="P21" s="17" t="n">
        <v>0.6193</v>
      </c>
      <c r="Q21" s="17" t="n">
        <v>0.6242</v>
      </c>
      <c r="R21" s="17" t="n">
        <v>0.6292</v>
      </c>
      <c r="S21" s="17" t="n">
        <v>0.6342</v>
      </c>
      <c r="T21" s="17" t="n">
        <v>0.6391</v>
      </c>
      <c r="U21" s="17" t="n">
        <v>0.644</v>
      </c>
      <c r="V21" s="17" t="n">
        <v>0.649</v>
      </c>
      <c r="W21" s="17" t="n">
        <v>0.6539</v>
      </c>
      <c r="X21" s="17" t="n">
        <v>0.6589</v>
      </c>
      <c r="Y21" s="17" t="n">
        <v>0.6639</v>
      </c>
      <c r="Z21" s="17" t="n">
        <v>0.6688</v>
      </c>
      <c r="AA21" s="17" t="n">
        <v>0.6738</v>
      </c>
    </row>
    <row r="22" customFormat="false" ht="15" hidden="false" customHeight="true" outlineLevel="0" collapsed="false">
      <c r="A22" s="15" t="s">
        <v>32</v>
      </c>
      <c r="B22" s="18" t="n">
        <v>0.913</v>
      </c>
      <c r="C22" s="18" t="n">
        <v>0.914</v>
      </c>
      <c r="D22" s="18" t="n">
        <v>0.9149</v>
      </c>
      <c r="E22" s="18" t="n">
        <v>0.9159</v>
      </c>
      <c r="F22" s="18" t="n">
        <v>0.9168</v>
      </c>
      <c r="G22" s="18" t="n">
        <v>0.9178</v>
      </c>
      <c r="H22" s="18" t="n">
        <v>0.9187</v>
      </c>
      <c r="I22" s="18" t="n">
        <v>0.9197</v>
      </c>
      <c r="J22" s="18" t="n">
        <v>0.9207</v>
      </c>
      <c r="K22" s="18" t="n">
        <v>0.9216</v>
      </c>
      <c r="L22" s="18" t="n">
        <v>0.9226</v>
      </c>
      <c r="M22" s="18" t="n">
        <v>0.9235</v>
      </c>
      <c r="N22" s="18" t="n">
        <v>0.9245</v>
      </c>
      <c r="O22" s="18" t="n">
        <v>0.9254</v>
      </c>
      <c r="P22" s="18" t="n">
        <v>0.9264</v>
      </c>
      <c r="Q22" s="18" t="n">
        <v>0.9274</v>
      </c>
      <c r="R22" s="18" t="n">
        <v>0.9283</v>
      </c>
      <c r="S22" s="18" t="n">
        <v>0.9293</v>
      </c>
      <c r="T22" s="18" t="n">
        <v>0.9302</v>
      </c>
      <c r="U22" s="18" t="n">
        <v>0.9312</v>
      </c>
      <c r="V22" s="18" t="n">
        <v>0.9321</v>
      </c>
      <c r="W22" s="18" t="n">
        <v>0.9331</v>
      </c>
      <c r="X22" s="18" t="n">
        <v>0.9341</v>
      </c>
      <c r="Y22" s="18" t="n">
        <v>0.935</v>
      </c>
      <c r="Z22" s="18" t="n">
        <v>0.936</v>
      </c>
      <c r="AA22" s="18" t="n">
        <v>0.9369</v>
      </c>
    </row>
    <row r="23" customFormat="false" ht="15" hidden="false" customHeight="true" outlineLevel="0" collapsed="false">
      <c r="A23" s="13" t="s">
        <v>33</v>
      </c>
      <c r="B23" s="17" t="n">
        <v>0.899</v>
      </c>
      <c r="C23" s="17" t="n">
        <v>0.9001</v>
      </c>
      <c r="D23" s="17" t="n">
        <v>0.9012</v>
      </c>
      <c r="E23" s="17" t="n">
        <v>0.9023</v>
      </c>
      <c r="F23" s="17" t="n">
        <v>0.9034</v>
      </c>
      <c r="G23" s="17" t="n">
        <v>0.9046</v>
      </c>
      <c r="H23" s="17" t="n">
        <v>0.9057</v>
      </c>
      <c r="I23" s="17" t="n">
        <v>0.9068</v>
      </c>
      <c r="J23" s="17" t="n">
        <v>0.9079</v>
      </c>
      <c r="K23" s="17" t="n">
        <v>0.909</v>
      </c>
      <c r="L23" s="17" t="n">
        <v>0.9101</v>
      </c>
      <c r="M23" s="17" t="n">
        <v>0.9112</v>
      </c>
      <c r="N23" s="17" t="n">
        <v>0.9123</v>
      </c>
      <c r="O23" s="17" t="n">
        <v>0.9134</v>
      </c>
      <c r="P23" s="17" t="n">
        <v>0.9146</v>
      </c>
      <c r="Q23" s="17" t="n">
        <v>0.9157</v>
      </c>
      <c r="R23" s="17" t="n">
        <v>0.9168</v>
      </c>
      <c r="S23" s="17" t="n">
        <v>0.9179</v>
      </c>
      <c r="T23" s="17" t="n">
        <v>0.919</v>
      </c>
      <c r="U23" s="17" t="n">
        <v>0.9201</v>
      </c>
      <c r="V23" s="17" t="n">
        <v>0.9212</v>
      </c>
      <c r="W23" s="17" t="n">
        <v>0.9223</v>
      </c>
      <c r="X23" s="17" t="n">
        <v>0.9234</v>
      </c>
      <c r="Y23" s="17" t="n">
        <v>0.9246</v>
      </c>
      <c r="Z23" s="17" t="n">
        <v>0.9257</v>
      </c>
      <c r="AA23" s="17" t="n">
        <v>0.9268</v>
      </c>
    </row>
  </sheetData>
  <autoFilter ref="A2:AA23"/>
  <mergeCells count="1">
    <mergeCell ref="A1:AA1"/>
  </mergeCells>
  <conditionalFormatting sqref="B3:AA23">
    <cfRule type="colorScale" priority="2">
      <colorScale>
        <cfvo type="min" val="0"/>
        <cfvo type="max" val="0"/>
        <color rgb="FFFFFFFF"/>
        <color rgb="FFBBD7E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2026-08-31T18:03:27Z</dcterms:created>
  <dc:creator>Unidad de estadísticas</dc:creator>
  <dc:description>Datos sintéticos de ejemplo. No son estadísticas oficiales de ninguna institución.</dc:description>
  <dc:language>en-US</dc:language>
  <cp:lastModifiedBy/>
  <dcterms:modified xsi:type="dcterms:W3CDTF">2026-08-31T18:32:46Z</dcterms:modified>
  <cp:revision>0</cp:revision>
  <dc:subject/>
  <dc:title>Población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