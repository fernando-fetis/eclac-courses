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CO2_total_Mt" sheetId="2" state="visible" r:id="rId4"/>
    <sheet name="CO2_per_capita" sheetId="3" state="visible" r:id="rId5"/>
    <sheet name="renewables_share" sheetId="4" state="visible" r:id="rId6"/>
    <sheet name="Electricity" sheetId="5" state="visible" r:id="rId7"/>
  </sheets>
  <definedNames>
    <definedName function="false" hidden="false" localSheetId="2" name="_xlnm.Print_Titles" vbProcedure="false">CO2_per_capita!$2:$2</definedName>
    <definedName function="false" hidden="true" localSheetId="2" name="_xlnm._FilterDatabase" vbProcedure="false">CO2_per_capita!$A$2:$Y$23</definedName>
    <definedName function="false" hidden="false" localSheetId="1" name="_xlnm.Print_Titles" vbProcedure="false">CO2_total_Mt!$3:$3</definedName>
    <definedName function="false" hidden="true" localSheetId="1" name="_xlnm._FilterDatabase" vbProcedure="false">CO2_total_Mt!$A$3:$Y$24</definedName>
    <definedName function="false" hidden="false" localSheetId="4" name="_xlnm.Print_Titles" vbProcedure="false">Electricity!$2:$2</definedName>
    <definedName function="false" hidden="true" localSheetId="4" name="_xlnm._FilterDatabase" vbProcedure="false">Electricity!$A$2:$Y$23</definedName>
    <definedName function="false" hidden="false" localSheetId="3" name="_xlnm.Print_Titles" vbProcedure="false">renewables_share!$2:$2</definedName>
    <definedName function="false" hidden="true" localSheetId="3" name="_xlnm._FilterDatabase" vbProcedure="false">renewables_share!$A$2:$Y$23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<sst xmlns="http://schemas.openxmlformats.org/spreadsheetml/2006/main" count="108" uniqueCount="42">
  <si>
    <t xml:space="preserve">Emissions and energy</t>
  </si>
  <si>
    <t xml:space="preserve">Computed with formulas over the data sheets in this workbook.</t>
  </si>
  <si>
    <t xml:space="preserve">Sheet</t>
  </si>
  <si>
    <t xml:space="preserve">Data rows</t>
  </si>
  <si>
    <t xml:space="preserve">First year</t>
  </si>
  <si>
    <t xml:space="preserve">Last year</t>
  </si>
  <si>
    <t xml:space="preserve">Average, last year</t>
  </si>
  <si>
    <t xml:space="preserve">Minimum</t>
  </si>
  <si>
    <t xml:space="preserve">Maximum</t>
  </si>
  <si>
    <t xml:space="preserve">CO2_total_Mt</t>
  </si>
  <si>
    <t xml:space="preserve">CO2_per_capita</t>
  </si>
  <si>
    <t xml:space="preserve">renewables_share</t>
  </si>
  <si>
    <t xml:space="preserve">Electricity</t>
  </si>
  <si>
    <t xml:space="preserve">Blank cells are series with no data for the last year in every country.</t>
  </si>
  <si>
    <t xml:space="preserve">Carbon dioxide emissions from fuel combustion</t>
  </si>
  <si>
    <t xml:space="preserve">Millions of tons of CO2. Countries are identified by ISO 3166-1 alpha-3 code.</t>
  </si>
  <si>
    <t xml:space="preserve">ISO3</t>
  </si>
  <si>
    <t xml:space="preserve">ARG</t>
  </si>
  <si>
    <t xml:space="preserve">BOL</t>
  </si>
  <si>
    <t xml:space="preserve">BRA</t>
  </si>
  <si>
    <t xml:space="preserve">CHL</t>
  </si>
  <si>
    <t xml:space="preserve">COL</t>
  </si>
  <si>
    <t xml:space="preserve">CRI</t>
  </si>
  <si>
    <t xml:space="preserve">CUB</t>
  </si>
  <si>
    <t xml:space="preserve">DOM</t>
  </si>
  <si>
    <t xml:space="preserve">ECU</t>
  </si>
  <si>
    <t xml:space="preserve">GTM</t>
  </si>
  <si>
    <t xml:space="preserve">HND</t>
  </si>
  <si>
    <t xml:space="preserve">JAM</t>
  </si>
  <si>
    <t xml:space="preserve">MEX</t>
  </si>
  <si>
    <t xml:space="preserve">NIC</t>
  </si>
  <si>
    <t xml:space="preserve">PAN</t>
  </si>
  <si>
    <t xml:space="preserve">PER</t>
  </si>
  <si>
    <t xml:space="preserve">PRY</t>
  </si>
  <si>
    <t xml:space="preserve">SLV</t>
  </si>
  <si>
    <t xml:space="preserve">TTO</t>
  </si>
  <si>
    <t xml:space="preserve">URY</t>
  </si>
  <si>
    <t xml:space="preserve">VEN</t>
  </si>
  <si>
    <t xml:space="preserve">Tons of CO2 per inhabitant</t>
  </si>
  <si>
    <t xml:space="preserve">Renewable sources as a proportion of gross electricity generation (0 to 1)</t>
  </si>
  <si>
    <t xml:space="preserve">Electricity consumption, kWh per inhabitant</t>
  </si>
  <si>
    <t xml:space="preserve">..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</si>
</sst>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#,##0.00"/>
    <numFmt numFmtId="167" formatCode="#,##0.0"/>
    <numFmt numFmtId="168" formatCode="0.00"/>
    <numFmt numFmtId="169" formatCode="0.00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024C7A"/>
      <name val="Calibri"/>
      <family val="0"/>
      <charset val="1"/>
    </font>
    <font>
      <i val="true"/>
      <sz val="10"/>
      <color rgb="FF44545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name val="Calibri"/>
      <family val="0"/>
      <charset val="1"/>
    </font>
    <font>
      <i val="true"/>
      <sz val="9"/>
      <color rgb="FF44545F"/>
      <name val="Calibri"/>
      <family val="0"/>
      <charset val="1"/>
    </font>
    <font>
      <b val="true"/>
      <sz val="14"/>
      <color rgb="FF024C7A"/>
      <name val="Calibri"/>
      <family val="0"/>
      <charset val="1"/>
    </font>
    <font>
      <sz val="10"/>
      <color rgb="FF1A2530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36BAA"/>
        <bgColor rgb="FF008080"/>
      </patternFill>
    </fill>
    <fill>
      <patternFill patternType="solid">
        <fgColor rgb="FFEEF4F9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0D8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10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0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10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2">
    <dxf>
      <fill>
        <patternFill patternType="solid">
          <fgColor rgb="FF036BAA"/>
          <bgColor rgb="FF000000"/>
        </patternFill>
      </fill>
    </dxf>
    <dxf>
      <fill>
        <patternFill patternType="solid">
          <fgColor rgb="FFEEF4F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A253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BE1F1"/>
          <bgColor rgb="FF000000"/>
        </patternFill>
      </fill>
    </dxf>
    <dxf>
      <fill>
        <patternFill patternType="solid">
          <fgColor rgb="FFD5E6F4"/>
          <bgColor rgb="FF000000"/>
        </patternFill>
      </fill>
    </dxf>
    <dxf>
      <fill>
        <patternFill patternType="solid">
          <fgColor rgb="FFE8F2F9"/>
          <bgColor rgb="FF000000"/>
        </patternFill>
      </fill>
    </dxf>
    <dxf>
      <fill>
        <patternFill patternType="solid">
          <fgColor rgb="FFF1F7FB"/>
          <bgColor rgb="FF000000"/>
        </patternFill>
      </fill>
    </dxf>
    <dxf>
      <fill>
        <patternFill patternType="solid">
          <fgColor rgb="FFFAFCFE"/>
          <bgColor rgb="FF000000"/>
        </patternFill>
      </fill>
    </dxf>
    <dxf>
      <fill>
        <patternFill patternType="solid">
          <fgColor rgb="FFFDFEFF"/>
          <bgColor rgb="FF000000"/>
        </patternFill>
      </fill>
    </dxf>
    <dxf>
      <fill>
        <patternFill patternType="solid">
          <fgColor rgb="FFFEFFFF"/>
          <bgColor rgb="FF000000"/>
        </patternFill>
      </fill>
    </dxf>
    <dxf>
      <fill>
        <patternFill patternType="solid">
          <fgColor rgb="FFD4E6F3"/>
          <bgColor rgb="FF000000"/>
        </patternFill>
      </fill>
    </dxf>
    <dxf>
      <fill>
        <patternFill patternType="solid">
          <fgColor rgb="FFF1F7FC"/>
          <bgColor rgb="FF000000"/>
        </patternFill>
      </fill>
    </dxf>
    <dxf>
      <fill>
        <patternFill patternType="solid">
          <fgColor rgb="FFF9FCFE"/>
          <bgColor rgb="FF000000"/>
        </patternFill>
      </fill>
    </dxf>
    <dxf>
      <fill>
        <patternFill patternType="solid">
          <fgColor rgb="FFC9DFF0"/>
          <bgColor rgb="FF000000"/>
        </patternFill>
      </fill>
    </dxf>
    <dxf>
      <fill>
        <patternFill patternType="solid">
          <fgColor rgb="FFEBF3FA"/>
          <bgColor rgb="FF000000"/>
        </patternFill>
      </fill>
    </dxf>
    <dxf>
      <fill>
        <patternFill patternType="solid">
          <fgColor rgb="FFF2F8FC"/>
          <bgColor rgb="FF000000"/>
        </patternFill>
      </fill>
    </dxf>
    <dxf>
      <fill>
        <patternFill patternType="solid">
          <fgColor rgb="FFC8DFF0"/>
          <bgColor rgb="FF000000"/>
        </patternFill>
      </fill>
    </dxf>
    <dxf>
      <fill>
        <patternFill patternType="solid">
          <fgColor rgb="FFD3E6F3"/>
          <bgColor rgb="FF000000"/>
        </patternFill>
      </fill>
    </dxf>
    <dxf>
      <fill>
        <patternFill patternType="solid">
          <fgColor rgb="FFE8F1F9"/>
          <bgColor rgb="FF000000"/>
        </patternFill>
      </fill>
    </dxf>
    <dxf>
      <fill>
        <patternFill patternType="solid">
          <fgColor rgb="FFF3F8FC"/>
          <bgColor rgb="FF000000"/>
        </patternFill>
      </fill>
    </dxf>
    <dxf>
      <fill>
        <patternFill patternType="solid">
          <fgColor rgb="FFF9FBFE"/>
          <bgColor rgb="FF000000"/>
        </patternFill>
      </fill>
    </dxf>
    <dxf>
      <fill>
        <patternFill patternType="solid">
          <fgColor rgb="FFD2E5F3"/>
          <bgColor rgb="FF000000"/>
        </patternFill>
      </fill>
    </dxf>
    <dxf>
      <fill>
        <patternFill patternType="solid">
          <fgColor rgb="FFFCFEFF"/>
          <bgColor rgb="FF000000"/>
        </patternFill>
      </fill>
    </dxf>
    <dxf>
      <fill>
        <patternFill patternType="solid">
          <fgColor rgb="FFD1E4F2"/>
          <bgColor rgb="FF000000"/>
        </patternFill>
      </fill>
    </dxf>
    <dxf>
      <fill>
        <patternFill patternType="solid">
          <fgColor rgb="FFE9F2F9"/>
          <bgColor rgb="FF000000"/>
        </patternFill>
      </fill>
    </dxf>
    <dxf>
      <fill>
        <patternFill patternType="solid">
          <fgColor rgb="FFF8FBFE"/>
          <bgColor rgb="FF000000"/>
        </patternFill>
      </fill>
    </dxf>
    <dxf>
      <fill>
        <patternFill patternType="solid">
          <fgColor rgb="FFCDE2F1"/>
          <bgColor rgb="FF000000"/>
        </patternFill>
      </fill>
    </dxf>
    <dxf>
      <fill>
        <patternFill patternType="solid">
          <fgColor rgb="FFF0F6FB"/>
          <bgColor rgb="FF000000"/>
        </patternFill>
      </fill>
    </dxf>
    <dxf>
      <fill>
        <patternFill patternType="solid">
          <fgColor rgb="FFF8FBFD"/>
          <bgColor rgb="FF000000"/>
        </patternFill>
      </fill>
    </dxf>
    <dxf>
      <fill>
        <patternFill patternType="solid">
          <fgColor rgb="FFFCFDFF"/>
          <bgColor rgb="FF000000"/>
        </patternFill>
      </fill>
    </dxf>
    <dxf>
      <fill>
        <patternFill patternType="solid">
          <fgColor rgb="FFFEFEFF"/>
          <bgColor rgb="FF000000"/>
        </patternFill>
      </fill>
    </dxf>
    <dxf>
      <fill>
        <patternFill patternType="solid">
          <fgColor rgb="FFCEE3F2"/>
          <bgColor rgb="FF000000"/>
        </patternFill>
      </fill>
    </dxf>
    <dxf>
      <fill>
        <patternFill patternType="solid">
          <fgColor rgb="FFFCFDFE"/>
          <bgColor rgb="FF000000"/>
        </patternFill>
      </fill>
    </dxf>
    <dxf>
      <fill>
        <patternFill patternType="solid">
          <fgColor rgb="FFC5DDEF"/>
          <bgColor rgb="FF000000"/>
        </patternFill>
      </fill>
    </dxf>
    <dxf>
      <fill>
        <patternFill patternType="solid">
          <fgColor rgb="FFF7FBFD"/>
          <bgColor rgb="FF000000"/>
        </patternFill>
      </fill>
    </dxf>
    <dxf>
      <fill>
        <patternFill patternType="solid">
          <fgColor rgb="FFC6DEEF"/>
          <bgColor rgb="FF000000"/>
        </patternFill>
      </fill>
    </dxf>
    <dxf>
      <fill>
        <patternFill patternType="solid">
          <fgColor rgb="FFCCE1F1"/>
          <bgColor rgb="FF000000"/>
        </patternFill>
      </fill>
    </dxf>
    <dxf>
      <fill>
        <patternFill patternType="solid">
          <fgColor rgb="FFF0F7FB"/>
          <bgColor rgb="FF000000"/>
        </patternFill>
      </fill>
    </dxf>
    <dxf>
      <fill>
        <patternFill patternType="solid">
          <fgColor rgb="FFE7F1F9"/>
          <bgColor rgb="FF000000"/>
        </patternFill>
      </fill>
    </dxf>
    <dxf>
      <fill>
        <patternFill patternType="solid">
          <fgColor rgb="FFF7FAFD"/>
          <bgColor rgb="FF000000"/>
        </patternFill>
      </fill>
    </dxf>
    <dxf>
      <fill>
        <patternFill patternType="solid">
          <fgColor rgb="FFFBFDFE"/>
          <bgColor rgb="FF000000"/>
        </patternFill>
      </fill>
    </dxf>
    <dxf>
      <fill>
        <patternFill patternType="solid">
          <fgColor rgb="FFE6F1F8"/>
          <bgColor rgb="FF000000"/>
        </patternFill>
      </fill>
    </dxf>
    <dxf>
      <fill>
        <patternFill patternType="solid">
          <fgColor rgb="FFC1DBEE"/>
          <bgColor rgb="FF000000"/>
        </patternFill>
      </fill>
    </dxf>
    <dxf>
      <fill>
        <patternFill patternType="solid">
          <fgColor rgb="FFC7DEF0"/>
          <bgColor rgb="FF000000"/>
        </patternFill>
      </fill>
    </dxf>
    <dxf>
      <fill>
        <patternFill patternType="solid">
          <fgColor rgb="FFEFF6FB"/>
          <bgColor rgb="FF000000"/>
        </patternFill>
      </fill>
    </dxf>
    <dxf>
      <fill>
        <patternFill patternType="solid">
          <fgColor rgb="FFF6FAFD"/>
          <bgColor rgb="FF000000"/>
        </patternFill>
      </fill>
    </dxf>
    <dxf>
      <fill>
        <patternFill patternType="solid">
          <fgColor rgb="FFC3DCEF"/>
          <bgColor rgb="FF000000"/>
        </patternFill>
      </fill>
    </dxf>
    <dxf>
      <fill>
        <patternFill patternType="solid">
          <fgColor rgb="FFE4F0F8"/>
          <bgColor rgb="FF000000"/>
        </patternFill>
      </fill>
    </dxf>
    <dxf>
      <fill>
        <patternFill patternType="solid">
          <fgColor rgb="FFC2DBEE"/>
          <bgColor rgb="FF000000"/>
        </patternFill>
      </fill>
    </dxf>
    <dxf>
      <fill>
        <patternFill patternType="solid">
          <fgColor rgb="FFE3EFF8"/>
          <bgColor rgb="FF000000"/>
        </patternFill>
      </fill>
    </dxf>
    <dxf>
      <fill>
        <patternFill patternType="solid">
          <fgColor rgb="FFC4DDEF"/>
          <bgColor rgb="FF000000"/>
        </patternFill>
      </fill>
    </dxf>
    <dxf>
      <fill>
        <patternFill patternType="solid">
          <fgColor rgb="FFF5FAFD"/>
          <bgColor rgb="FF000000"/>
        </patternFill>
      </fill>
    </dxf>
    <dxf>
      <fill>
        <patternFill patternType="solid">
          <fgColor rgb="FFC4DCEF"/>
          <bgColor rgb="FF000000"/>
        </patternFill>
      </fill>
    </dxf>
    <dxf>
      <fill>
        <patternFill patternType="solid">
          <fgColor rgb="FFC6DEF0"/>
          <bgColor rgb="FF000000"/>
        </patternFill>
      </fill>
    </dxf>
    <dxf>
      <fill>
        <patternFill patternType="solid">
          <fgColor rgb="FFE2EEF7"/>
          <bgColor rgb="FF000000"/>
        </patternFill>
      </fill>
    </dxf>
    <dxf>
      <fill>
        <patternFill patternType="solid">
          <fgColor rgb="FFF5F9FC"/>
          <bgColor rgb="FF000000"/>
        </patternFill>
      </fill>
    </dxf>
    <dxf>
      <fill>
        <patternFill patternType="solid">
          <fgColor rgb="FFF5F9FD"/>
          <bgColor rgb="FF000000"/>
        </patternFill>
      </fill>
    </dxf>
    <dxf>
      <fill>
        <patternFill patternType="solid">
          <fgColor rgb="FFC0DAEE"/>
          <bgColor rgb="FF000000"/>
        </patternFill>
      </fill>
    </dxf>
    <dxf>
      <fill>
        <patternFill patternType="solid">
          <fgColor rgb="FFE1EDF7"/>
          <bgColor rgb="FF000000"/>
        </patternFill>
      </fill>
    </dxf>
    <dxf>
      <fill>
        <patternFill patternType="solid">
          <fgColor rgb="FFBFDAEE"/>
          <bgColor rgb="FF000000"/>
        </patternFill>
      </fill>
    </dxf>
    <dxf>
      <fill>
        <patternFill patternType="solid">
          <fgColor rgb="FFF4F9FC"/>
          <bgColor rgb="FF000000"/>
        </patternFill>
      </fill>
    </dxf>
    <dxf>
      <fill>
        <patternFill patternType="solid">
          <fgColor rgb="FFC9E0F0"/>
          <bgColor rgb="FF000000"/>
        </patternFill>
      </fill>
    </dxf>
    <dxf>
      <fill>
        <patternFill patternType="solid">
          <fgColor rgb="FFE6F0F8"/>
          <bgColor rgb="FF000000"/>
        </patternFill>
      </fill>
    </dxf>
    <dxf>
      <fill>
        <patternFill patternType="solid">
          <fgColor rgb="FFBED9ED"/>
          <bgColor rgb="FF000000"/>
        </patternFill>
      </fill>
    </dxf>
    <dxf>
      <fill>
        <patternFill patternType="solid">
          <fgColor rgb="FFE1EEF7"/>
          <bgColor rgb="FF000000"/>
        </patternFill>
      </fill>
    </dxf>
    <dxf>
      <fill>
        <patternFill patternType="solid">
          <fgColor rgb="FFF4F8FC"/>
          <bgColor rgb="FF000000"/>
        </patternFill>
      </fill>
    </dxf>
    <dxf>
      <fill>
        <patternFill patternType="solid">
          <fgColor rgb="FFBDD9ED"/>
          <bgColor rgb="FF000000"/>
        </patternFill>
      </fill>
    </dxf>
    <dxf>
      <fill>
        <patternFill patternType="solid">
          <fgColor rgb="FFBBD7EC"/>
          <bgColor rgb="FF000000"/>
        </patternFill>
      </fill>
    </dxf>
    <dxf>
      <fill>
        <patternFill patternType="solid">
          <fgColor rgb="FFBFDAED"/>
          <bgColor rgb="FF000000"/>
        </patternFill>
      </fill>
    </dxf>
    <dxf>
      <fill>
        <patternFill patternType="solid">
          <fgColor rgb="FFE0EDF7"/>
          <bgColor rgb="FF000000"/>
        </patternFill>
      </fill>
    </dxf>
    <dxf>
      <fill>
        <patternFill patternType="solid">
          <fgColor rgb="FFFAFDFE"/>
          <bgColor rgb="FF000000"/>
        </patternFill>
      </fill>
    </dxf>
    <dxf>
      <fill>
        <patternFill patternType="solid">
          <fgColor rgb="FFBFD9ED"/>
          <bgColor rgb="FF000000"/>
        </patternFill>
      </fill>
    </dxf>
    <dxf>
      <fill>
        <patternFill patternType="solid">
          <fgColor rgb="FFC1DAEE"/>
          <bgColor rgb="FF000000"/>
        </patternFill>
      </fill>
    </dxf>
    <dxf>
      <fill>
        <patternFill patternType="solid">
          <fgColor rgb="FFF2F7FC"/>
          <bgColor rgb="FF000000"/>
        </patternFill>
      </fill>
    </dxf>
    <dxf>
      <fill>
        <patternFill patternType="solid">
          <fgColor rgb="FFC2DCEE"/>
          <bgColor rgb="FF000000"/>
        </patternFill>
      </fill>
    </dxf>
    <dxf>
      <fill>
        <patternFill patternType="solid">
          <fgColor rgb="FFD0E4F2"/>
          <bgColor rgb="FF000000"/>
        </patternFill>
      </fill>
    </dxf>
    <dxf>
      <fill>
        <patternFill patternType="solid">
          <fgColor rgb="FFCAE0F0"/>
          <bgColor rgb="FF000000"/>
        </patternFill>
      </fill>
    </dxf>
    <dxf>
      <fill>
        <patternFill patternType="solid">
          <fgColor rgb="FFBCD8ED"/>
          <bgColor rgb="FF000000"/>
        </patternFill>
      </fill>
    </dxf>
    <dxf>
      <fill>
        <patternFill patternType="solid">
          <fgColor rgb="FFCAE0F1"/>
          <bgColor rgb="FF000000"/>
        </patternFill>
      </fill>
    </dxf>
    <dxf>
      <fill>
        <patternFill patternType="solid">
          <fgColor rgb="FFCFE3F2"/>
          <bgColor rgb="FF000000"/>
        </patternFill>
      </fill>
    </dxf>
    <dxf>
      <fill>
        <patternFill patternType="solid">
          <fgColor rgb="FFD1E4F3"/>
          <bgColor rgb="FF000000"/>
        </patternFill>
      </fill>
    </dxf>
    <dxf>
      <fill>
        <patternFill patternType="solid">
          <fgColor rgb="FFDDEBF6"/>
          <bgColor rgb="FF000000"/>
        </patternFill>
      </fill>
    </dxf>
    <dxf>
      <fill>
        <patternFill patternType="solid">
          <fgColor rgb="FFDEECF6"/>
          <bgColor rgb="FF000000"/>
        </patternFill>
      </fill>
    </dxf>
    <dxf>
      <fill>
        <patternFill patternType="solid">
          <fgColor rgb="FFEAF3F9"/>
          <bgColor rgb="FF000000"/>
        </patternFill>
      </fill>
    </dxf>
    <dxf>
      <fill>
        <patternFill patternType="solid">
          <fgColor rgb="FFD3E5F3"/>
          <bgColor rgb="FF000000"/>
        </patternFill>
      </fill>
    </dxf>
    <dxf>
      <fill>
        <patternFill patternType="solid">
          <fgColor rgb="FFDCEBF6"/>
          <bgColor rgb="FF000000"/>
        </patternFill>
      </fill>
    </dxf>
    <dxf>
      <fill>
        <patternFill patternType="solid">
          <fgColor rgb="FFE3EEF7"/>
          <bgColor rgb="FF000000"/>
        </patternFill>
      </fill>
    </dxf>
    <dxf>
      <fill>
        <patternFill patternType="solid">
          <fgColor rgb="FFDFECF6"/>
          <bgColor rgb="FF000000"/>
        </patternFill>
      </fill>
    </dxf>
    <dxf>
      <fill>
        <patternFill patternType="solid">
          <fgColor rgb="FFE3EFF7"/>
          <bgColor rgb="FF000000"/>
        </patternFill>
      </fill>
    </dxf>
    <dxf>
      <fill>
        <patternFill patternType="solid">
          <fgColor rgb="FFC7DFF0"/>
          <bgColor rgb="FF000000"/>
        </patternFill>
      </fill>
    </dxf>
    <dxf>
      <fill>
        <patternFill patternType="solid">
          <fgColor rgb="FFDBEAF5"/>
          <bgColor rgb="FF000000"/>
        </patternFill>
      </fill>
    </dxf>
    <dxf>
      <fill>
        <patternFill patternType="solid">
          <fgColor rgb="FFD0E3F2"/>
          <bgColor rgb="FF000000"/>
        </patternFill>
      </fill>
    </dxf>
    <dxf>
      <fill>
        <patternFill patternType="solid">
          <fgColor rgb="FFCEE2F2"/>
          <bgColor rgb="FF000000"/>
        </patternFill>
      </fill>
    </dxf>
    <dxf>
      <fill>
        <patternFill patternType="solid">
          <fgColor rgb="FFDAE9F5"/>
          <bgColor rgb="FF000000"/>
        </patternFill>
      </fill>
    </dxf>
    <dxf>
      <fill>
        <patternFill patternType="solid">
          <fgColor rgb="FFDFEDF6"/>
          <bgColor rgb="FF000000"/>
        </patternFill>
      </fill>
    </dxf>
    <dxf>
      <fill>
        <patternFill patternType="solid">
          <fgColor rgb="FFD9E9F5"/>
          <bgColor rgb="FF000000"/>
        </patternFill>
      </fill>
    </dxf>
    <dxf>
      <fill>
        <patternFill patternType="solid">
          <fgColor rgb="FFDFEDF7"/>
          <bgColor rgb="FF000000"/>
        </patternFill>
      </fill>
    </dxf>
    <dxf>
      <fill>
        <patternFill patternType="solid">
          <fgColor rgb="FFD6E7F4"/>
          <bgColor rgb="FF000000"/>
        </patternFill>
      </fill>
    </dxf>
    <dxf>
      <fill>
        <patternFill patternType="solid">
          <fgColor rgb="FFE4EFF8"/>
          <bgColor rgb="FF000000"/>
        </patternFill>
      </fill>
    </dxf>
    <dxf>
      <fill>
        <patternFill patternType="solid">
          <fgColor rgb="FFBDD8ED"/>
          <bgColor rgb="FF000000"/>
        </patternFill>
      </fill>
    </dxf>
    <dxf>
      <fill>
        <patternFill patternType="solid">
          <fgColor rgb="FFCDE2F2"/>
          <bgColor rgb="FF000000"/>
        </patternFill>
      </fill>
    </dxf>
    <dxf>
      <fill>
        <patternFill patternType="solid">
          <fgColor rgb="FFD5E7F4"/>
          <bgColor rgb="FF000000"/>
        </patternFill>
      </fill>
    </dxf>
    <dxf>
      <fill>
        <patternFill patternType="solid">
          <fgColor rgb="FFD7E8F4"/>
          <bgColor rgb="FF000000"/>
        </patternFill>
      </fill>
    </dxf>
    <dxf>
      <fill>
        <patternFill patternType="solid">
          <fgColor rgb="FFE5F0F8"/>
          <bgColor rgb="FF000000"/>
        </patternFill>
      </fill>
    </dxf>
    <dxf>
      <fill>
        <patternFill patternType="solid">
          <fgColor rgb="FFD7E7F4"/>
          <bgColor rgb="FF000000"/>
        </patternFill>
      </fill>
    </dxf>
    <dxf>
      <fill>
        <patternFill patternType="solid">
          <fgColor rgb="FFDAEAF5"/>
          <bgColor rgb="FF000000"/>
        </patternFill>
      </fill>
    </dxf>
    <dxf>
      <fill>
        <patternFill patternType="solid">
          <fgColor rgb="FFEEF5FB"/>
          <bgColor rgb="FF000000"/>
        </patternFill>
      </fill>
    </dxf>
    <dxf>
      <fill>
        <patternFill patternType="solid">
          <fgColor rgb="FFC6DDEF"/>
          <bgColor rgb="FF000000"/>
        </patternFill>
      </fill>
    </dxf>
    <dxf>
      <fill>
        <patternFill patternType="solid">
          <fgColor rgb="FFDCEAF5"/>
          <bgColor rgb="FF000000"/>
        </patternFill>
      </fill>
    </dxf>
    <dxf>
      <fill>
        <patternFill patternType="solid">
          <fgColor rgb="FFECF4FA"/>
          <bgColor rgb="FF000000"/>
        </patternFill>
      </fill>
    </dxf>
    <dxf>
      <fill>
        <patternFill patternType="solid">
          <fgColor rgb="FFD8E8F5"/>
          <bgColor rgb="FF000000"/>
        </patternFill>
      </fill>
    </dxf>
    <dxf>
      <fill>
        <patternFill patternType="solid">
          <fgColor rgb="FFD8E8F4"/>
          <bgColor rgb="FF000000"/>
        </patternFill>
      </fill>
    </dxf>
    <dxf>
      <fill>
        <patternFill patternType="solid">
          <fgColor rgb="FFEBF4FA"/>
          <bgColor rgb="FF000000"/>
        </patternFill>
      </fill>
    </dxf>
    <dxf>
      <fill>
        <patternFill patternType="solid">
          <fgColor rgb="FFEEF5FA"/>
          <bgColor rgb="FF000000"/>
        </patternFill>
      </fill>
    </dxf>
    <dxf>
      <fill>
        <patternFill patternType="solid">
          <fgColor rgb="FFEDF5FA"/>
          <bgColor rgb="FF000000"/>
        </patternFill>
      </fill>
    </dxf>
    <dxf>
      <fill>
        <patternFill patternType="solid">
          <fgColor rgb="FFEAF3FA"/>
          <bgColor rgb="FF000000"/>
        </patternFill>
      </fill>
    </dxf>
    <dxf>
      <fill>
        <patternFill patternType="solid">
          <fgColor rgb="FFD2E4F3"/>
          <bgColor rgb="FF000000"/>
        </patternFill>
      </fill>
    </dxf>
    <dxf>
      <fill>
        <patternFill patternType="solid">
          <fgColor rgb="FFCBE0F1"/>
          <bgColor rgb="FF000000"/>
        </patternFill>
      </fill>
    </dxf>
    <dxf>
      <fill>
        <patternFill patternType="solid">
          <fgColor rgb="FFEDF4FA"/>
          <bgColor rgb="FF000000"/>
        </patternFill>
      </fill>
    </dxf>
    <dxf>
      <fill>
        <patternFill patternType="solid">
          <fgColor rgb="FFC3DCEE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BE4B48"/>
      <rgbColor rgb="FFEEF4F9"/>
      <rgbColor rgb="FFCCFFFF"/>
      <rgbColor rgb="FF660066"/>
      <rgbColor rgb="FFFF8080"/>
      <rgbColor rgb="FF036BAA"/>
      <rgbColor rgb="FFD0D8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8B855"/>
      <rgbColor rgb="FFFFCC00"/>
      <rgbColor rgb="FFC9A227"/>
      <rgbColor rgb="FFFF6600"/>
      <rgbColor rgb="FF7D5FA0"/>
      <rgbColor rgb="FF969696"/>
      <rgbColor rgb="FF024C7A"/>
      <rgbColor rgb="FF339966"/>
      <rgbColor rgb="FF003300"/>
      <rgbColor rgb="FF333300"/>
      <rgbColor rgb="FF993300"/>
      <rgbColor rgb="FF993366"/>
      <rgbColor rgb="FF44545F"/>
      <rgbColor rgb="FF1A253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Emisiones y energía · CO2_total_Mt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CO2_total_Mt!A4</c:f>
              <c:strCache>
                <c:ptCount val="1"/>
                <c:pt idx="0">
                  <c:v>ARG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CO2_total_Mt!$B$3:$Y$3</c:f>
              <c:strCache>
                <c:ptCount val="24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</c:strCache>
            </c:strRef>
          </c:cat>
          <c:val>
            <c:numRef>
              <c:f>CO2_total_Mt!$B$4:$Y$4</c:f>
              <c:numCache>
                <c:formatCode>#,##0.0</c:formatCode>
                <c:ptCount val="24"/>
                <c:pt idx="0">
                  <c:v>84.72</c:v>
                </c:pt>
                <c:pt idx="1">
                  <c:v>83.74</c:v>
                </c:pt>
                <c:pt idx="2">
                  <c:v>74.94</c:v>
                </c:pt>
                <c:pt idx="3">
                  <c:v>85.53</c:v>
                </c:pt>
                <c:pt idx="4">
                  <c:v>85.41</c:v>
                </c:pt>
                <c:pt idx="5">
                  <c:v>80.15</c:v>
                </c:pt>
                <c:pt idx="6">
                  <c:v>83.6</c:v>
                </c:pt>
                <c:pt idx="7">
                  <c:v>82.9</c:v>
                </c:pt>
                <c:pt idx="8">
                  <c:v>83.04</c:v>
                </c:pt>
                <c:pt idx="9">
                  <c:v>83.16</c:v>
                </c:pt>
                <c:pt idx="10">
                  <c:v>89.48</c:v>
                </c:pt>
                <c:pt idx="11">
                  <c:v>89.84</c:v>
                </c:pt>
                <c:pt idx="12">
                  <c:v>89.72</c:v>
                </c:pt>
                <c:pt idx="13">
                  <c:v>97.23</c:v>
                </c:pt>
                <c:pt idx="14">
                  <c:v>102.16</c:v>
                </c:pt>
                <c:pt idx="15">
                  <c:v>101.25</c:v>
                </c:pt>
                <c:pt idx="16">
                  <c:v>104.38</c:v>
                </c:pt>
                <c:pt idx="17">
                  <c:v>106.1</c:v>
                </c:pt>
                <c:pt idx="18">
                  <c:v>109.35</c:v>
                </c:pt>
                <c:pt idx="19">
                  <c:v>101.19</c:v>
                </c:pt>
                <c:pt idx="20">
                  <c:v>92.57</c:v>
                </c:pt>
                <c:pt idx="21">
                  <c:v>108.66</c:v>
                </c:pt>
                <c:pt idx="22">
                  <c:v>107.65</c:v>
                </c:pt>
                <c:pt idx="23">
                  <c:v>112.37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CO2_total_Mt!A6</c:f>
              <c:strCache>
                <c:ptCount val="1"/>
                <c:pt idx="0">
                  <c:v>BRA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CO2_total_Mt!$B$3:$Y$3</c:f>
              <c:strCache>
                <c:ptCount val="24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</c:strCache>
            </c:strRef>
          </c:cat>
          <c:val>
            <c:numRef>
              <c:f>CO2_total_Mt!$B$6:$Y$6</c:f>
              <c:numCache>
                <c:formatCode>#,##0.0</c:formatCode>
                <c:ptCount val="24"/>
                <c:pt idx="0">
                  <c:v>185.04</c:v>
                </c:pt>
                <c:pt idx="1">
                  <c:v>186.98</c:v>
                </c:pt>
                <c:pt idx="2">
                  <c:v>193.53</c:v>
                </c:pt>
                <c:pt idx="3">
                  <c:v>195.58</c:v>
                </c:pt>
                <c:pt idx="4">
                  <c:v>198.27</c:v>
                </c:pt>
                <c:pt idx="5">
                  <c:v>193.39</c:v>
                </c:pt>
                <c:pt idx="6">
                  <c:v>198.41</c:v>
                </c:pt>
                <c:pt idx="7">
                  <c:v>198.81</c:v>
                </c:pt>
                <c:pt idx="8">
                  <c:v>206.84</c:v>
                </c:pt>
                <c:pt idx="9">
                  <c:v>204.62</c:v>
                </c:pt>
                <c:pt idx="10">
                  <c:v>195.99</c:v>
                </c:pt>
                <c:pt idx="11">
                  <c:v>207.68</c:v>
                </c:pt>
                <c:pt idx="12">
                  <c:v>222.62</c:v>
                </c:pt>
                <c:pt idx="13">
                  <c:v>215.04</c:v>
                </c:pt>
                <c:pt idx="14">
                  <c:v>219.86</c:v>
                </c:pt>
                <c:pt idx="15">
                  <c:v>208.78</c:v>
                </c:pt>
                <c:pt idx="16">
                  <c:v>202.57</c:v>
                </c:pt>
                <c:pt idx="17">
                  <c:v>202.68</c:v>
                </c:pt>
                <c:pt idx="18">
                  <c:v>209.31</c:v>
                </c:pt>
                <c:pt idx="19">
                  <c:v>215.65</c:v>
                </c:pt>
                <c:pt idx="20">
                  <c:v>182.55</c:v>
                </c:pt>
                <c:pt idx="21">
                  <c:v>231.14</c:v>
                </c:pt>
                <c:pt idx="22">
                  <c:v>231.81</c:v>
                </c:pt>
                <c:pt idx="23">
                  <c:v>241.33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CO2_total_Mt!A7</c:f>
              <c:strCache>
                <c:ptCount val="1"/>
                <c:pt idx="0">
                  <c:v>CHL</c:v>
                </c:pt>
              </c:strCache>
            </c:strRef>
          </c:tx>
          <c:spPr>
            <a:solidFill>
              <a:srgbClr val="98B855"/>
            </a:solidFill>
            <a:ln w="1260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CO2_total_Mt!$B$3:$Y$3</c:f>
              <c:strCache>
                <c:ptCount val="24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</c:strCache>
            </c:strRef>
          </c:cat>
          <c:val>
            <c:numRef>
              <c:f>CO2_total_Mt!$B$7:$Y$7</c:f>
              <c:numCache>
                <c:formatCode>#,##0.0</c:formatCode>
                <c:ptCount val="24"/>
                <c:pt idx="0">
                  <c:v>19.3</c:v>
                </c:pt>
                <c:pt idx="1">
                  <c:v>19.59</c:v>
                </c:pt>
                <c:pt idx="2">
                  <c:v>20.43</c:v>
                </c:pt>
                <c:pt idx="3">
                  <c:v>20.88</c:v>
                </c:pt>
                <c:pt idx="4">
                  <c:v>22.64</c:v>
                </c:pt>
                <c:pt idx="5">
                  <c:v>24.52</c:v>
                </c:pt>
                <c:pt idx="6">
                  <c:v>26.09</c:v>
                </c:pt>
                <c:pt idx="7">
                  <c:v>27.23</c:v>
                </c:pt>
                <c:pt idx="8">
                  <c:v>28.2</c:v>
                </c:pt>
                <c:pt idx="9">
                  <c:v>29.46</c:v>
                </c:pt>
                <c:pt idx="10">
                  <c:v>30.4</c:v>
                </c:pt>
                <c:pt idx="11">
                  <c:v>31.9</c:v>
                </c:pt>
                <c:pt idx="12">
                  <c:v>32.68</c:v>
                </c:pt>
                <c:pt idx="13">
                  <c:v>33.66</c:v>
                </c:pt>
                <c:pt idx="14">
                  <c:v>33.96</c:v>
                </c:pt>
                <c:pt idx="15">
                  <c:v>34.63</c:v>
                </c:pt>
                <c:pt idx="16">
                  <c:v>36.27</c:v>
                </c:pt>
                <c:pt idx="17">
                  <c:v>36.57</c:v>
                </c:pt>
                <c:pt idx="18">
                  <c:v>37.03</c:v>
                </c:pt>
                <c:pt idx="19">
                  <c:v>37.04</c:v>
                </c:pt>
                <c:pt idx="20">
                  <c:v>31.49</c:v>
                </c:pt>
                <c:pt idx="21">
                  <c:v>37.61</c:v>
                </c:pt>
                <c:pt idx="22">
                  <c:v>38.08</c:v>
                </c:pt>
                <c:pt idx="23">
                  <c:v>39.69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CO2_total_Mt!A16</c:f>
              <c:strCache>
                <c:ptCount val="1"/>
                <c:pt idx="0">
                  <c:v>MEX</c:v>
                </c:pt>
              </c:strCache>
            </c:strRef>
          </c:tx>
          <c:spPr>
            <a:solidFill>
              <a:srgbClr val="7D5FA0"/>
            </a:solidFill>
            <a:ln w="1260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CO2_total_Mt!$B$3:$Y$3</c:f>
              <c:strCache>
                <c:ptCount val="24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</c:strCache>
            </c:strRef>
          </c:cat>
          <c:val>
            <c:numRef>
              <c:f>CO2_total_Mt!$B$16:$Y$16</c:f>
              <c:numCache>
                <c:formatCode>#,##0.0</c:formatCode>
                <c:ptCount val="24"/>
                <c:pt idx="0">
                  <c:v>151.43</c:v>
                </c:pt>
                <c:pt idx="1">
                  <c:v>154.45</c:v>
                </c:pt>
                <c:pt idx="2">
                  <c:v>156.21</c:v>
                </c:pt>
                <c:pt idx="3">
                  <c:v>156.95</c:v>
                </c:pt>
                <c:pt idx="4">
                  <c:v>160.62</c:v>
                </c:pt>
                <c:pt idx="5">
                  <c:v>165.78</c:v>
                </c:pt>
                <c:pt idx="6">
                  <c:v>179.76</c:v>
                </c:pt>
                <c:pt idx="7">
                  <c:v>175.07</c:v>
                </c:pt>
                <c:pt idx="8">
                  <c:v>186.48</c:v>
                </c:pt>
                <c:pt idx="9">
                  <c:v>181.81</c:v>
                </c:pt>
                <c:pt idx="10">
                  <c:v>181.97</c:v>
                </c:pt>
                <c:pt idx="11">
                  <c:v>179.83</c:v>
                </c:pt>
                <c:pt idx="12">
                  <c:v>199.86</c:v>
                </c:pt>
                <c:pt idx="13">
                  <c:v>209.22</c:v>
                </c:pt>
                <c:pt idx="14">
                  <c:v>206.26</c:v>
                </c:pt>
                <c:pt idx="15">
                  <c:v>211.26</c:v>
                </c:pt>
                <c:pt idx="16">
                  <c:v>212.8</c:v>
                </c:pt>
                <c:pt idx="17">
                  <c:v>218.57</c:v>
                </c:pt>
                <c:pt idx="18">
                  <c:v>224.15</c:v>
                </c:pt>
                <c:pt idx="19">
                  <c:v>228.33</c:v>
                </c:pt>
                <c:pt idx="20">
                  <c:v>192.58</c:v>
                </c:pt>
                <c:pt idx="21">
                  <c:v>233.15</c:v>
                </c:pt>
                <c:pt idx="22">
                  <c:v>234.34</c:v>
                </c:pt>
                <c:pt idx="23">
                  <c:v>228.95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4940837"/>
        <c:axId val="23217484"/>
      </c:lineChart>
      <c:catAx>
        <c:axId val="2494083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Año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3217484"/>
        <c:crosses val="autoZero"/>
        <c:auto val="1"/>
        <c:lblAlgn val="ctr"/>
        <c:lblOffset val="100"/>
        <c:noMultiLvlLbl val="0"/>
      </c:catAx>
      <c:valAx>
        <c:axId val="2321748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494083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26</xdr:row>
      <xdr:rowOff>0</xdr:rowOff>
    </xdr:from>
    <xdr:to>
      <xdr:col>11</xdr:col>
      <xdr:colOff>604080</xdr:colOff>
      <xdr:row>42</xdr:row>
      <xdr:rowOff>11160</xdr:rowOff>
    </xdr:to>
    <xdr:graphicFrame>
      <xdr:nvGraphicFramePr>
        <xdr:cNvPr id="1" name="Chart 1"/>
        <xdr:cNvGraphicFramePr/>
      </xdr:nvGraphicFramePr>
      <xdr:xfrm>
        <a:off x="0" y="5172120"/>
        <a:ext cx="8639280" cy="305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227"/>
    <pageSetUpPr fitToPage="true"/>
  </sheetPr>
  <dimension ref="A1:G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5"/>
    <col collapsed="false" customWidth="true" hidden="false" outlineLevel="0" max="4" min="3" style="1" width="12"/>
    <col collapsed="false" customWidth="true" hidden="false" outlineLevel="0" max="5" min="5" style="1" width="19"/>
    <col collapsed="false" customWidth="true" hidden="false" outlineLevel="0" max="7" min="6" style="1" width="14"/>
  </cols>
  <sheetData>
    <row r="1" customFormat="false" ht="18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27.7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</row>
    <row r="5" customFormat="false" ht="15" hidden="false" customHeight="true" outlineLevel="0" collapsed="false">
      <c r="A5" s="5" t="s">
        <v>9</v>
      </c>
      <c r="B5" s="6" t="n">
        <f aca="false">COUNTA(CO2_total_Mt!A4:A24)</f>
        <v>21</v>
      </c>
      <c r="C5" s="7" t="n">
        <f aca="false">CO2_total_Mt!B3</f>
        <v>2000</v>
      </c>
      <c r="D5" s="7" t="n">
        <f aca="false">CO2_total_Mt!Y3</f>
        <v>2023</v>
      </c>
      <c r="E5" s="8" t="n">
        <f aca="false">IFERROR(AVERAGE(CO2_total_Mt!Y4:Y24),"")</f>
        <v>38.8757142857143</v>
      </c>
      <c r="F5" s="8" t="n">
        <f aca="false">IFERROR(MIN(CO2_total_Mt!B4:Y24),"")</f>
        <v>1.24</v>
      </c>
      <c r="G5" s="8" t="n">
        <f aca="false">IFERROR(MAX(CO2_total_Mt!B4:Y24),"")</f>
        <v>241.33</v>
      </c>
    </row>
    <row r="6" customFormat="false" ht="15" hidden="false" customHeight="true" outlineLevel="0" collapsed="false">
      <c r="A6" s="5" t="s">
        <v>10</v>
      </c>
      <c r="B6" s="6" t="n">
        <f aca="false">COUNTA(CO2_per_capita!A3:A23)</f>
        <v>21</v>
      </c>
      <c r="C6" s="7" t="n">
        <f aca="false">CO2_per_capita!B2</f>
        <v>2000</v>
      </c>
      <c r="D6" s="7" t="n">
        <f aca="false">CO2_per_capita!Y2</f>
        <v>2023</v>
      </c>
      <c r="E6" s="8" t="n">
        <f aca="false">IFERROR(AVERAGE(CO2_per_capita!Y3:Y23),"")</f>
        <v>1.48595238095238</v>
      </c>
      <c r="F6" s="8" t="n">
        <f aca="false">IFERROR(MIN(CO2_per_capita!B3:Y23),"")</f>
        <v>0.239</v>
      </c>
      <c r="G6" s="8" t="n">
        <f aca="false">IFERROR(MAX(CO2_per_capita!B3:Y23),"")</f>
        <v>10.785</v>
      </c>
    </row>
    <row r="7" customFormat="false" ht="15" hidden="false" customHeight="true" outlineLevel="0" collapsed="false">
      <c r="A7" s="5" t="s">
        <v>11</v>
      </c>
      <c r="B7" s="6" t="n">
        <f aca="false">COUNTA(renewables_share!A3:A23)</f>
        <v>21</v>
      </c>
      <c r="C7" s="7" t="n">
        <f aca="false">renewables_share!B2</f>
        <v>2000</v>
      </c>
      <c r="D7" s="7" t="n">
        <f aca="false">renewables_share!Y2</f>
        <v>2023</v>
      </c>
      <c r="E7" s="8" t="n">
        <f aca="false">IFERROR(AVERAGE(renewables_share!Y3:Y23),"")</f>
        <v>0.566371428571429</v>
      </c>
      <c r="F7" s="8" t="n">
        <f aca="false">IFERROR(MIN(renewables_share!B3:Y23),"")</f>
        <v>0.001</v>
      </c>
      <c r="G7" s="8" t="n">
        <f aca="false">IFERROR(MAX(renewables_share!B3:Y23),"")</f>
        <v>1</v>
      </c>
    </row>
    <row r="8" customFormat="false" ht="15" hidden="false" customHeight="true" outlineLevel="0" collapsed="false">
      <c r="A8" s="5" t="s">
        <v>12</v>
      </c>
      <c r="B8" s="6" t="n">
        <f aca="false">COUNTA(Electricity!A3:A23)</f>
        <v>21</v>
      </c>
      <c r="C8" s="7" t="n">
        <f aca="false">Electricity!B2</f>
        <v>2000</v>
      </c>
      <c r="D8" s="7" t="n">
        <f aca="false">Electricity!Y2</f>
        <v>2023</v>
      </c>
      <c r="E8" s="8" t="n">
        <f aca="false">IFERROR(AVERAGE(Electricity!Y3:Y23),"")</f>
        <v>2947.19047619048</v>
      </c>
      <c r="F8" s="8" t="n">
        <f aca="false">IFERROR(MIN(Electricity!B3:Y23),"")</f>
        <v>960</v>
      </c>
      <c r="G8" s="8" t="n">
        <f aca="false">IFERROR(MAX(Electricity!B3:Y23),"")</f>
        <v>4639</v>
      </c>
    </row>
    <row r="10" customFormat="false" ht="15" hidden="false" customHeight="true" outlineLevel="0" collapsed="false">
      <c r="A10" s="9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36BAA"/>
    <pageSetUpPr fitToPage="true"/>
  </sheetPr>
  <dimension ref="A1:Y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25" min="2" style="1" width="10"/>
  </cols>
  <sheetData>
    <row r="1" customFormat="false" ht="21.75" hidden="false" customHeight="true" outlineLevel="0" collapsed="false">
      <c r="A1" s="10" t="s">
        <v>14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</row>
    <row r="2" customFormat="false" ht="15" hidden="false" customHeight="true" outlineLevel="0" collapsed="false">
      <c r="A2" s="11" t="s">
        <v>15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</row>
    <row r="3" customFormat="false" ht="25.5" hidden="false" customHeight="true" outlineLevel="0" collapsed="false">
      <c r="A3" s="12" t="s">
        <v>16</v>
      </c>
      <c r="B3" s="13" t="n">
        <v>2000</v>
      </c>
      <c r="C3" s="13" t="n">
        <v>2001</v>
      </c>
      <c r="D3" s="13" t="n">
        <v>2002</v>
      </c>
      <c r="E3" s="13" t="n">
        <v>2003</v>
      </c>
      <c r="F3" s="13" t="n">
        <v>2004</v>
      </c>
      <c r="G3" s="13" t="n">
        <v>2005</v>
      </c>
      <c r="H3" s="13" t="n">
        <v>2006</v>
      </c>
      <c r="I3" s="13" t="n">
        <v>2007</v>
      </c>
      <c r="J3" s="13" t="n">
        <v>2008</v>
      </c>
      <c r="K3" s="13" t="n">
        <v>2009</v>
      </c>
      <c r="L3" s="13" t="n">
        <v>2010</v>
      </c>
      <c r="M3" s="13" t="n">
        <v>2011</v>
      </c>
      <c r="N3" s="13" t="n">
        <v>2012</v>
      </c>
      <c r="O3" s="13" t="n">
        <v>2013</v>
      </c>
      <c r="P3" s="13" t="n">
        <v>2014</v>
      </c>
      <c r="Q3" s="13" t="n">
        <v>2015</v>
      </c>
      <c r="R3" s="13" t="n">
        <v>2016</v>
      </c>
      <c r="S3" s="13" t="n">
        <v>2017</v>
      </c>
      <c r="T3" s="13" t="n">
        <v>2018</v>
      </c>
      <c r="U3" s="13" t="n">
        <v>2019</v>
      </c>
      <c r="V3" s="13" t="n">
        <v>2020</v>
      </c>
      <c r="W3" s="13" t="n">
        <v>2021</v>
      </c>
      <c r="X3" s="13" t="n">
        <v>2022</v>
      </c>
      <c r="Y3" s="13" t="n">
        <v>2023</v>
      </c>
    </row>
    <row r="4" customFormat="false" ht="15" hidden="false" customHeight="true" outlineLevel="0" collapsed="false">
      <c r="A4" s="14" t="s">
        <v>17</v>
      </c>
      <c r="B4" s="15" t="n">
        <v>84.72</v>
      </c>
      <c r="C4" s="15" t="n">
        <v>83.74</v>
      </c>
      <c r="D4" s="15" t="n">
        <v>74.94</v>
      </c>
      <c r="E4" s="15" t="n">
        <v>85.53</v>
      </c>
      <c r="F4" s="15" t="n">
        <v>85.41</v>
      </c>
      <c r="G4" s="15" t="n">
        <v>80.15</v>
      </c>
      <c r="H4" s="15" t="n">
        <v>83.6</v>
      </c>
      <c r="I4" s="15" t="n">
        <v>82.9</v>
      </c>
      <c r="J4" s="15" t="n">
        <v>83.04</v>
      </c>
      <c r="K4" s="15" t="n">
        <v>83.16</v>
      </c>
      <c r="L4" s="15" t="n">
        <v>89.48</v>
      </c>
      <c r="M4" s="15" t="n">
        <v>89.84</v>
      </c>
      <c r="N4" s="15" t="n">
        <v>89.72</v>
      </c>
      <c r="O4" s="15" t="n">
        <v>97.23</v>
      </c>
      <c r="P4" s="15" t="n">
        <v>102.16</v>
      </c>
      <c r="Q4" s="15" t="n">
        <v>101.25</v>
      </c>
      <c r="R4" s="15" t="n">
        <v>104.38</v>
      </c>
      <c r="S4" s="15" t="n">
        <v>106.1</v>
      </c>
      <c r="T4" s="15" t="n">
        <v>109.35</v>
      </c>
      <c r="U4" s="15" t="n">
        <v>101.19</v>
      </c>
      <c r="V4" s="15" t="n">
        <v>92.57</v>
      </c>
      <c r="W4" s="15" t="n">
        <v>108.66</v>
      </c>
      <c r="X4" s="15" t="n">
        <v>107.65</v>
      </c>
      <c r="Y4" s="15" t="n">
        <v>112.37</v>
      </c>
    </row>
    <row r="5" customFormat="false" ht="15" hidden="false" customHeight="true" outlineLevel="0" collapsed="false">
      <c r="A5" s="16" t="s">
        <v>18</v>
      </c>
      <c r="B5" s="17" t="n">
        <v>4.57</v>
      </c>
      <c r="C5" s="17" t="n">
        <v>5.09</v>
      </c>
      <c r="D5" s="17" t="n">
        <v>5.22</v>
      </c>
      <c r="E5" s="17" t="n">
        <v>5.41</v>
      </c>
      <c r="F5" s="17" t="n">
        <v>5.92</v>
      </c>
      <c r="G5" s="17" t="n">
        <v>6.29</v>
      </c>
      <c r="H5" s="17" t="n">
        <v>6.56</v>
      </c>
      <c r="I5" s="17" t="n">
        <v>7.15</v>
      </c>
      <c r="J5" s="17" t="n">
        <v>7.3</v>
      </c>
      <c r="K5" s="17" t="n">
        <v>7.26</v>
      </c>
      <c r="L5" s="17" t="n">
        <v>7.62</v>
      </c>
      <c r="M5" s="17" t="n">
        <v>8.1</v>
      </c>
      <c r="N5" s="17" t="n">
        <v>8.17</v>
      </c>
      <c r="O5" s="17" t="n">
        <v>8.59</v>
      </c>
      <c r="P5" s="17" t="n">
        <v>9.23</v>
      </c>
      <c r="Q5" s="17" t="n">
        <v>8.97</v>
      </c>
      <c r="R5" s="17" t="n">
        <v>9.63</v>
      </c>
      <c r="S5" s="17" t="n">
        <v>9.59</v>
      </c>
      <c r="T5" s="17" t="n">
        <v>9.96</v>
      </c>
      <c r="U5" s="17" t="n">
        <v>10.36</v>
      </c>
      <c r="V5" s="17" t="n">
        <v>9.01</v>
      </c>
      <c r="W5" s="17" t="n">
        <v>11.02</v>
      </c>
      <c r="X5" s="17" t="n">
        <v>11.89</v>
      </c>
      <c r="Y5" s="17" t="n">
        <v>12.16</v>
      </c>
    </row>
    <row r="6" customFormat="false" ht="15" hidden="false" customHeight="true" outlineLevel="0" collapsed="false">
      <c r="A6" s="14" t="s">
        <v>19</v>
      </c>
      <c r="B6" s="15" t="n">
        <v>185.04</v>
      </c>
      <c r="C6" s="15" t="n">
        <v>186.98</v>
      </c>
      <c r="D6" s="15" t="n">
        <v>193.53</v>
      </c>
      <c r="E6" s="15" t="n">
        <v>195.58</v>
      </c>
      <c r="F6" s="15" t="n">
        <v>198.27</v>
      </c>
      <c r="G6" s="15" t="n">
        <v>193.39</v>
      </c>
      <c r="H6" s="15" t="n">
        <v>198.41</v>
      </c>
      <c r="I6" s="15" t="n">
        <v>198.81</v>
      </c>
      <c r="J6" s="15" t="n">
        <v>206.84</v>
      </c>
      <c r="K6" s="15" t="n">
        <v>204.62</v>
      </c>
      <c r="L6" s="15" t="n">
        <v>195.99</v>
      </c>
      <c r="M6" s="15" t="n">
        <v>207.68</v>
      </c>
      <c r="N6" s="15" t="n">
        <v>222.62</v>
      </c>
      <c r="O6" s="15" t="n">
        <v>215.04</v>
      </c>
      <c r="P6" s="15" t="n">
        <v>219.86</v>
      </c>
      <c r="Q6" s="15" t="n">
        <v>208.78</v>
      </c>
      <c r="R6" s="15" t="n">
        <v>202.57</v>
      </c>
      <c r="S6" s="15" t="n">
        <v>202.68</v>
      </c>
      <c r="T6" s="15" t="n">
        <v>209.31</v>
      </c>
      <c r="U6" s="15" t="n">
        <v>215.65</v>
      </c>
      <c r="V6" s="15" t="n">
        <v>182.55</v>
      </c>
      <c r="W6" s="15" t="n">
        <v>231.14</v>
      </c>
      <c r="X6" s="15" t="n">
        <v>231.81</v>
      </c>
      <c r="Y6" s="15" t="n">
        <v>241.33</v>
      </c>
    </row>
    <row r="7" customFormat="false" ht="15" hidden="false" customHeight="true" outlineLevel="0" collapsed="false">
      <c r="A7" s="16" t="s">
        <v>20</v>
      </c>
      <c r="B7" s="17" t="n">
        <v>19.3</v>
      </c>
      <c r="C7" s="17" t="n">
        <v>19.59</v>
      </c>
      <c r="D7" s="17" t="n">
        <v>20.43</v>
      </c>
      <c r="E7" s="17" t="n">
        <v>20.88</v>
      </c>
      <c r="F7" s="17" t="n">
        <v>22.64</v>
      </c>
      <c r="G7" s="17" t="n">
        <v>24.52</v>
      </c>
      <c r="H7" s="17" t="n">
        <v>26.09</v>
      </c>
      <c r="I7" s="17" t="n">
        <v>27.23</v>
      </c>
      <c r="J7" s="17" t="n">
        <v>28.2</v>
      </c>
      <c r="K7" s="17" t="n">
        <v>29.46</v>
      </c>
      <c r="L7" s="17" t="n">
        <v>30.4</v>
      </c>
      <c r="M7" s="17" t="n">
        <v>31.9</v>
      </c>
      <c r="N7" s="17" t="n">
        <v>32.68</v>
      </c>
      <c r="O7" s="17" t="n">
        <v>33.66</v>
      </c>
      <c r="P7" s="17" t="n">
        <v>33.96</v>
      </c>
      <c r="Q7" s="17" t="n">
        <v>34.63</v>
      </c>
      <c r="R7" s="17" t="n">
        <v>36.27</v>
      </c>
      <c r="S7" s="17" t="n">
        <v>36.57</v>
      </c>
      <c r="T7" s="17" t="n">
        <v>37.03</v>
      </c>
      <c r="U7" s="17" t="n">
        <v>37.04</v>
      </c>
      <c r="V7" s="17" t="n">
        <v>31.49</v>
      </c>
      <c r="W7" s="17" t="n">
        <v>37.61</v>
      </c>
      <c r="X7" s="17" t="n">
        <v>38.08</v>
      </c>
      <c r="Y7" s="17" t="n">
        <v>39.69</v>
      </c>
    </row>
    <row r="8" customFormat="false" ht="15" hidden="false" customHeight="true" outlineLevel="0" collapsed="false">
      <c r="A8" s="14" t="s">
        <v>21</v>
      </c>
      <c r="B8" s="15" t="n">
        <v>22.11</v>
      </c>
      <c r="C8" s="15" t="n">
        <v>22.73</v>
      </c>
      <c r="D8" s="15" t="n">
        <v>23.23</v>
      </c>
      <c r="E8" s="15" t="n">
        <v>25.59</v>
      </c>
      <c r="F8" s="15" t="n">
        <v>25.65</v>
      </c>
      <c r="G8" s="15" t="n">
        <v>26.08</v>
      </c>
      <c r="H8" s="15" t="n">
        <v>26.91</v>
      </c>
      <c r="I8" s="15" t="n">
        <v>27.73</v>
      </c>
      <c r="J8" s="15" t="n">
        <v>30.51</v>
      </c>
      <c r="K8" s="15" t="n">
        <v>29.57</v>
      </c>
      <c r="L8" s="15" t="n">
        <v>31.64</v>
      </c>
      <c r="M8" s="15" t="n">
        <v>33</v>
      </c>
      <c r="N8" s="15" t="n">
        <v>33.63</v>
      </c>
      <c r="O8" s="15" t="n">
        <v>33.65</v>
      </c>
      <c r="P8" s="15" t="n">
        <v>35.75</v>
      </c>
      <c r="Q8" s="15" t="n">
        <v>37.06</v>
      </c>
      <c r="R8" s="15" t="n">
        <v>38.01</v>
      </c>
      <c r="S8" s="15" t="n">
        <v>37.27</v>
      </c>
      <c r="T8" s="15" t="n">
        <v>37.96</v>
      </c>
      <c r="U8" s="15" t="n">
        <v>40.8</v>
      </c>
      <c r="V8" s="15" t="n">
        <v>35.5</v>
      </c>
      <c r="W8" s="15" t="n">
        <v>43.51</v>
      </c>
      <c r="X8" s="15" t="n">
        <v>43.98</v>
      </c>
      <c r="Y8" s="15" t="n">
        <v>46.69</v>
      </c>
    </row>
    <row r="9" customFormat="false" ht="15" hidden="false" customHeight="true" outlineLevel="0" collapsed="false">
      <c r="A9" s="16" t="s">
        <v>22</v>
      </c>
      <c r="B9" s="17" t="n">
        <v>2.31</v>
      </c>
      <c r="C9" s="17" t="n">
        <v>2.32</v>
      </c>
      <c r="D9" s="17" t="n">
        <v>2.5</v>
      </c>
      <c r="E9" s="17" t="n">
        <v>2.68</v>
      </c>
      <c r="F9" s="17" t="n">
        <v>2.71</v>
      </c>
      <c r="G9" s="17" t="n">
        <v>2.8</v>
      </c>
      <c r="H9" s="17" t="n">
        <v>3.04</v>
      </c>
      <c r="I9" s="17" t="n">
        <v>3.17</v>
      </c>
      <c r="J9" s="17" t="n">
        <v>3.31</v>
      </c>
      <c r="K9" s="17" t="n">
        <v>3.28</v>
      </c>
      <c r="L9" s="17" t="n">
        <v>3.52</v>
      </c>
      <c r="M9" s="17" t="n">
        <v>3.6</v>
      </c>
      <c r="N9" s="17" t="n">
        <v>3.64</v>
      </c>
      <c r="O9" s="17" t="n">
        <v>3.71</v>
      </c>
      <c r="P9" s="17" t="n">
        <v>4.09</v>
      </c>
      <c r="Q9" s="17" t="n">
        <v>4.1</v>
      </c>
      <c r="R9" s="17" t="n">
        <v>4.24</v>
      </c>
      <c r="S9" s="17" t="n">
        <v>4.29</v>
      </c>
      <c r="T9" s="17" t="n">
        <v>4.55</v>
      </c>
      <c r="U9" s="17" t="n">
        <v>4.68</v>
      </c>
      <c r="V9" s="17" t="n">
        <v>4.05</v>
      </c>
      <c r="W9" s="17" t="n">
        <v>4.75</v>
      </c>
      <c r="X9" s="17" t="n">
        <v>5.28</v>
      </c>
      <c r="Y9" s="17" t="n">
        <v>5.4</v>
      </c>
    </row>
    <row r="10" customFormat="false" ht="15" hidden="false" customHeight="true" outlineLevel="0" collapsed="false">
      <c r="A10" s="14" t="s">
        <v>23</v>
      </c>
      <c r="B10" s="15" t="n">
        <v>9.38</v>
      </c>
      <c r="C10" s="15" t="n">
        <v>9.56</v>
      </c>
      <c r="D10" s="15" t="n">
        <v>9.27</v>
      </c>
      <c r="E10" s="15" t="n">
        <v>9.72</v>
      </c>
      <c r="F10" s="15" t="n">
        <v>10.79</v>
      </c>
      <c r="G10" s="15" t="n">
        <v>10.08</v>
      </c>
      <c r="H10" s="15" t="n">
        <v>10.22</v>
      </c>
      <c r="I10" s="15" t="n">
        <v>9.95</v>
      </c>
      <c r="J10" s="15" t="n">
        <v>10.09</v>
      </c>
      <c r="K10" s="15" t="n">
        <v>10.11</v>
      </c>
      <c r="L10" s="15" t="n">
        <v>10.27</v>
      </c>
      <c r="M10" s="15" t="n">
        <v>10.29</v>
      </c>
      <c r="N10" s="15" t="n">
        <v>10.34</v>
      </c>
      <c r="O10" s="15" t="n">
        <v>10.12</v>
      </c>
      <c r="P10" s="15" t="n">
        <v>10.89</v>
      </c>
      <c r="Q10" s="15" t="n">
        <v>10.64</v>
      </c>
      <c r="R10" s="15" t="n">
        <v>11.1</v>
      </c>
      <c r="S10" s="15" t="n">
        <v>10.94</v>
      </c>
      <c r="T10" s="15" t="n">
        <v>11.16</v>
      </c>
      <c r="U10" s="15" t="n">
        <v>10.66</v>
      </c>
      <c r="V10" s="15" t="n">
        <v>9.36</v>
      </c>
      <c r="W10" s="15" t="n">
        <v>10.01</v>
      </c>
      <c r="X10" s="15" t="n">
        <v>9.93</v>
      </c>
      <c r="Y10" s="15" t="n">
        <v>10.57</v>
      </c>
    </row>
    <row r="11" customFormat="false" ht="15" hidden="false" customHeight="true" outlineLevel="0" collapsed="false">
      <c r="A11" s="16" t="s">
        <v>24</v>
      </c>
      <c r="B11" s="17" t="n">
        <v>5.24</v>
      </c>
      <c r="C11" s="17" t="n">
        <v>5.43</v>
      </c>
      <c r="D11" s="17" t="n">
        <v>5.85</v>
      </c>
      <c r="E11" s="17" t="n">
        <v>6.42</v>
      </c>
      <c r="F11" s="17" t="n">
        <v>6.71</v>
      </c>
      <c r="G11" s="17" t="n">
        <v>6.77</v>
      </c>
      <c r="H11" s="17" t="n">
        <v>7.47</v>
      </c>
      <c r="I11" s="17" t="n">
        <v>7.63</v>
      </c>
      <c r="J11" s="17" t="n">
        <v>8.84</v>
      </c>
      <c r="K11" s="17" t="n">
        <v>8.64</v>
      </c>
      <c r="L11" s="17" t="n">
        <v>8.85</v>
      </c>
      <c r="M11" s="17" t="n">
        <v>9.76</v>
      </c>
      <c r="N11" s="17" t="n">
        <v>10.19</v>
      </c>
      <c r="O11" s="17" t="n">
        <v>10.93</v>
      </c>
      <c r="P11" s="17" t="n">
        <v>11.91</v>
      </c>
      <c r="Q11" s="17" t="n">
        <v>12.07</v>
      </c>
      <c r="R11" s="17" t="n">
        <v>12.79</v>
      </c>
      <c r="S11" s="17" t="n">
        <v>13.85</v>
      </c>
      <c r="T11" s="17" t="n">
        <v>14.05</v>
      </c>
      <c r="U11" s="17" t="n">
        <v>14.66</v>
      </c>
      <c r="V11" s="17" t="n">
        <v>12.82</v>
      </c>
      <c r="W11" s="17" t="n">
        <v>14.93</v>
      </c>
      <c r="X11" s="17" t="n">
        <v>15.25</v>
      </c>
      <c r="Y11" s="17" t="n">
        <v>16.37</v>
      </c>
    </row>
    <row r="12" customFormat="false" ht="15" hidden="false" customHeight="true" outlineLevel="0" collapsed="false">
      <c r="A12" s="14" t="s">
        <v>25</v>
      </c>
      <c r="B12" s="15" t="n">
        <v>5.32</v>
      </c>
      <c r="C12" s="15" t="n">
        <v>5.68</v>
      </c>
      <c r="D12" s="15" t="n">
        <v>5.65</v>
      </c>
      <c r="E12" s="15" t="n">
        <v>5.81</v>
      </c>
      <c r="F12" s="15" t="n">
        <v>6.19</v>
      </c>
      <c r="G12" s="15" t="n">
        <v>6.48</v>
      </c>
      <c r="H12" s="15" t="n">
        <v>6.96</v>
      </c>
      <c r="I12" s="15" t="n">
        <v>6.85</v>
      </c>
      <c r="J12" s="15" t="n">
        <v>6.87</v>
      </c>
      <c r="K12" s="15" t="n">
        <v>6.8</v>
      </c>
      <c r="L12" s="15" t="n">
        <v>7.38</v>
      </c>
      <c r="M12" s="15" t="n">
        <v>7.92</v>
      </c>
      <c r="N12" s="15" t="n">
        <v>8.36</v>
      </c>
      <c r="O12" s="15" t="n">
        <v>8.33</v>
      </c>
      <c r="P12" s="15" t="n">
        <v>8.63</v>
      </c>
      <c r="Q12" s="15" t="n">
        <v>8.83</v>
      </c>
      <c r="R12" s="15" t="n">
        <v>8.48</v>
      </c>
      <c r="S12" s="15" t="n">
        <v>9.18</v>
      </c>
      <c r="T12" s="15" t="n">
        <v>9.18</v>
      </c>
      <c r="U12" s="15" t="n">
        <v>9.36</v>
      </c>
      <c r="V12" s="15" t="n">
        <v>8.14</v>
      </c>
      <c r="W12" s="15" t="n">
        <v>8.93</v>
      </c>
      <c r="X12" s="15" t="n">
        <v>10.06</v>
      </c>
      <c r="Y12" s="15" t="n">
        <v>10.21</v>
      </c>
    </row>
    <row r="13" customFormat="false" ht="15" hidden="false" customHeight="true" outlineLevel="0" collapsed="false">
      <c r="A13" s="16" t="s">
        <v>26</v>
      </c>
      <c r="B13" s="17" t="n">
        <v>3.49</v>
      </c>
      <c r="C13" s="17" t="n">
        <v>3.68</v>
      </c>
      <c r="D13" s="17" t="n">
        <v>3.63</v>
      </c>
      <c r="E13" s="17" t="n">
        <v>3.87</v>
      </c>
      <c r="F13" s="17" t="n">
        <v>4.03</v>
      </c>
      <c r="G13" s="17" t="n">
        <v>4.18</v>
      </c>
      <c r="H13" s="17" t="n">
        <v>4.49</v>
      </c>
      <c r="I13" s="17" t="n">
        <v>4.7</v>
      </c>
      <c r="J13" s="17" t="n">
        <v>5.05</v>
      </c>
      <c r="K13" s="17" t="n">
        <v>4.92</v>
      </c>
      <c r="L13" s="17" t="n">
        <v>5.29</v>
      </c>
      <c r="M13" s="17" t="n">
        <v>5.38</v>
      </c>
      <c r="N13" s="17" t="n">
        <v>5.61</v>
      </c>
      <c r="O13" s="17" t="n">
        <v>5.64</v>
      </c>
      <c r="P13" s="17" t="n">
        <v>5.97</v>
      </c>
      <c r="Q13" s="17" t="n">
        <v>6.29</v>
      </c>
      <c r="R13" s="17" t="n">
        <v>6.55</v>
      </c>
      <c r="S13" s="17" t="n">
        <v>6.59</v>
      </c>
      <c r="T13" s="17" t="n">
        <v>7.16</v>
      </c>
      <c r="U13" s="17" t="n">
        <v>7.4</v>
      </c>
      <c r="V13" s="17" t="n">
        <v>6.33</v>
      </c>
      <c r="W13" s="17" t="n">
        <v>7.8</v>
      </c>
      <c r="X13" s="17" t="n">
        <v>8.26</v>
      </c>
      <c r="Y13" s="17" t="n">
        <v>8.32</v>
      </c>
    </row>
    <row r="14" customFormat="false" ht="15" hidden="false" customHeight="true" outlineLevel="0" collapsed="false">
      <c r="A14" s="14" t="s">
        <v>27</v>
      </c>
      <c r="B14" s="15" t="n">
        <v>1.6</v>
      </c>
      <c r="C14" s="15" t="n">
        <v>1.68</v>
      </c>
      <c r="D14" s="15" t="n">
        <v>1.76</v>
      </c>
      <c r="E14" s="15" t="n">
        <v>1.81</v>
      </c>
      <c r="F14" s="15" t="n">
        <v>1.81</v>
      </c>
      <c r="G14" s="15" t="n">
        <v>2.06</v>
      </c>
      <c r="H14" s="15" t="n">
        <v>2.12</v>
      </c>
      <c r="I14" s="15" t="n">
        <v>2.21</v>
      </c>
      <c r="J14" s="15" t="n">
        <v>2.25</v>
      </c>
      <c r="K14" s="15" t="n">
        <v>2.27</v>
      </c>
      <c r="L14" s="15" t="n">
        <v>2.39</v>
      </c>
      <c r="M14" s="15" t="n">
        <v>2.33</v>
      </c>
      <c r="N14" s="15" t="n">
        <v>2.49</v>
      </c>
      <c r="O14" s="15" t="n">
        <v>2.68</v>
      </c>
      <c r="P14" s="15" t="n">
        <v>2.73</v>
      </c>
      <c r="Q14" s="15" t="n">
        <v>2.88</v>
      </c>
      <c r="R14" s="15" t="n">
        <v>2.89</v>
      </c>
      <c r="S14" s="15" t="n">
        <v>3.06</v>
      </c>
      <c r="T14" s="15" t="n">
        <v>3.12</v>
      </c>
      <c r="U14" s="15" t="n">
        <v>3.07</v>
      </c>
      <c r="V14" s="15" t="n">
        <v>2.63</v>
      </c>
      <c r="W14" s="15" t="n">
        <v>3.18</v>
      </c>
      <c r="X14" s="15" t="n">
        <v>3.34</v>
      </c>
      <c r="Y14" s="15" t="n">
        <v>3.68</v>
      </c>
    </row>
    <row r="15" customFormat="false" ht="15" hidden="false" customHeight="true" outlineLevel="0" collapsed="false">
      <c r="A15" s="16" t="s">
        <v>28</v>
      </c>
      <c r="B15" s="17" t="n">
        <v>3.04</v>
      </c>
      <c r="C15" s="17" t="n">
        <v>2.97</v>
      </c>
      <c r="D15" s="17" t="n">
        <v>3.06</v>
      </c>
      <c r="E15" s="17" t="n">
        <v>3.1</v>
      </c>
      <c r="F15" s="17" t="n">
        <v>2.96</v>
      </c>
      <c r="G15" s="17" t="n">
        <v>2.95</v>
      </c>
      <c r="H15" s="17" t="n">
        <v>3.03</v>
      </c>
      <c r="I15" s="17" t="n">
        <v>3.07</v>
      </c>
      <c r="J15" s="17" t="n">
        <v>3.1</v>
      </c>
      <c r="K15" s="17" t="n">
        <v>3.03</v>
      </c>
      <c r="L15" s="17" t="n">
        <v>3.12</v>
      </c>
      <c r="M15" s="17" t="n">
        <v>2.88</v>
      </c>
      <c r="N15" s="17" t="n">
        <v>3.07</v>
      </c>
      <c r="O15" s="17" t="n">
        <v>3.13</v>
      </c>
      <c r="P15" s="17" t="n">
        <v>2.94</v>
      </c>
      <c r="Q15" s="17" t="n">
        <v>3.14</v>
      </c>
      <c r="R15" s="17" t="n">
        <v>3.25</v>
      </c>
      <c r="S15" s="17" t="n">
        <v>3.29</v>
      </c>
      <c r="T15" s="17" t="n">
        <v>3.33</v>
      </c>
      <c r="U15" s="17" t="n">
        <v>3.35</v>
      </c>
      <c r="V15" s="17" t="n">
        <v>2.6</v>
      </c>
      <c r="W15" s="17" t="n">
        <v>2.96</v>
      </c>
      <c r="X15" s="17" t="n">
        <v>2.98</v>
      </c>
      <c r="Y15" s="17" t="n">
        <v>3.07</v>
      </c>
    </row>
    <row r="16" customFormat="false" ht="15" hidden="false" customHeight="true" outlineLevel="0" collapsed="false">
      <c r="A16" s="14" t="s">
        <v>29</v>
      </c>
      <c r="B16" s="15" t="n">
        <v>151.43</v>
      </c>
      <c r="C16" s="15" t="n">
        <v>154.45</v>
      </c>
      <c r="D16" s="15" t="n">
        <v>156.21</v>
      </c>
      <c r="E16" s="15" t="n">
        <v>156.95</v>
      </c>
      <c r="F16" s="15" t="n">
        <v>160.62</v>
      </c>
      <c r="G16" s="15" t="n">
        <v>165.78</v>
      </c>
      <c r="H16" s="15" t="n">
        <v>179.76</v>
      </c>
      <c r="I16" s="15" t="n">
        <v>175.07</v>
      </c>
      <c r="J16" s="15" t="n">
        <v>186.48</v>
      </c>
      <c r="K16" s="15" t="n">
        <v>181.81</v>
      </c>
      <c r="L16" s="15" t="n">
        <v>181.97</v>
      </c>
      <c r="M16" s="15" t="n">
        <v>179.83</v>
      </c>
      <c r="N16" s="15" t="n">
        <v>199.86</v>
      </c>
      <c r="O16" s="15" t="n">
        <v>209.22</v>
      </c>
      <c r="P16" s="15" t="n">
        <v>206.26</v>
      </c>
      <c r="Q16" s="15" t="n">
        <v>211.26</v>
      </c>
      <c r="R16" s="15" t="n">
        <v>212.8</v>
      </c>
      <c r="S16" s="15" t="n">
        <v>218.57</v>
      </c>
      <c r="T16" s="15" t="n">
        <v>224.15</v>
      </c>
      <c r="U16" s="15" t="n">
        <v>228.33</v>
      </c>
      <c r="V16" s="15" t="n">
        <v>192.58</v>
      </c>
      <c r="W16" s="15" t="n">
        <v>233.15</v>
      </c>
      <c r="X16" s="15" t="n">
        <v>234.34</v>
      </c>
      <c r="Y16" s="15" t="n">
        <v>228.95</v>
      </c>
    </row>
    <row r="17" customFormat="false" ht="15" hidden="false" customHeight="true" outlineLevel="0" collapsed="false">
      <c r="A17" s="16" t="s">
        <v>30</v>
      </c>
      <c r="B17" s="17" t="n">
        <v>1.24</v>
      </c>
      <c r="C17" s="17" t="n">
        <v>1.27</v>
      </c>
      <c r="D17" s="17" t="n">
        <v>1.25</v>
      </c>
      <c r="E17" s="17" t="n">
        <v>1.37</v>
      </c>
      <c r="F17" s="17" t="n">
        <v>1.41</v>
      </c>
      <c r="G17" s="17" t="n">
        <v>1.51</v>
      </c>
      <c r="H17" s="17" t="n">
        <v>1.6</v>
      </c>
      <c r="I17" s="17" t="n">
        <v>1.6</v>
      </c>
      <c r="J17" s="17" t="n">
        <v>1.67</v>
      </c>
      <c r="K17" s="17" t="n">
        <v>1.61</v>
      </c>
      <c r="L17" s="17" t="n">
        <v>1.79</v>
      </c>
      <c r="M17" s="17" t="n">
        <v>1.85</v>
      </c>
      <c r="N17" s="17" t="n">
        <v>1.94</v>
      </c>
      <c r="O17" s="17" t="n">
        <v>2.02</v>
      </c>
      <c r="P17" s="17" t="n">
        <v>2.08</v>
      </c>
      <c r="Q17" s="17" t="n">
        <v>2.13</v>
      </c>
      <c r="R17" s="17" t="n">
        <v>2.21</v>
      </c>
      <c r="S17" s="17" t="n">
        <v>2.25</v>
      </c>
      <c r="T17" s="17" t="n">
        <v>2.14</v>
      </c>
      <c r="U17" s="17" t="n">
        <v>2.18</v>
      </c>
      <c r="V17" s="17" t="n">
        <v>1.8</v>
      </c>
      <c r="W17" s="17" t="n">
        <v>2.16</v>
      </c>
      <c r="X17" s="17" t="n">
        <v>2.25</v>
      </c>
      <c r="Y17" s="17" t="n">
        <v>2.28</v>
      </c>
    </row>
    <row r="18" customFormat="false" ht="15" hidden="false" customHeight="true" outlineLevel="0" collapsed="false">
      <c r="A18" s="14" t="s">
        <v>31</v>
      </c>
      <c r="B18" s="15" t="n">
        <v>2.08</v>
      </c>
      <c r="C18" s="15" t="n">
        <v>2.2</v>
      </c>
      <c r="D18" s="15" t="n">
        <v>2.41</v>
      </c>
      <c r="E18" s="15" t="n">
        <v>2.49</v>
      </c>
      <c r="F18" s="15" t="n">
        <v>2.53</v>
      </c>
      <c r="G18" s="15" t="n">
        <v>2.58</v>
      </c>
      <c r="H18" s="15" t="n">
        <v>2.87</v>
      </c>
      <c r="I18" s="15" t="n">
        <v>3.12</v>
      </c>
      <c r="J18" s="15" t="n">
        <v>3.29</v>
      </c>
      <c r="K18" s="15" t="n">
        <v>3.29</v>
      </c>
      <c r="L18" s="15" t="n">
        <v>3.48</v>
      </c>
      <c r="M18" s="15" t="n">
        <v>3.6</v>
      </c>
      <c r="N18" s="15" t="n">
        <v>3.69</v>
      </c>
      <c r="O18" s="15" t="n">
        <v>4.09</v>
      </c>
      <c r="P18" s="15" t="n">
        <v>4.23</v>
      </c>
      <c r="Q18" s="15" t="n">
        <v>4.42</v>
      </c>
      <c r="R18" s="15" t="n">
        <v>4.72</v>
      </c>
      <c r="S18" s="15" t="n">
        <v>4.97</v>
      </c>
      <c r="T18" s="15" t="n">
        <v>5.13</v>
      </c>
      <c r="U18" s="15" t="n">
        <v>5.66</v>
      </c>
      <c r="V18" s="15" t="n">
        <v>4.45</v>
      </c>
      <c r="W18" s="15" t="n">
        <v>5.7</v>
      </c>
      <c r="X18" s="15" t="n">
        <v>5.69</v>
      </c>
      <c r="Y18" s="15" t="n">
        <v>6.15</v>
      </c>
    </row>
    <row r="19" customFormat="false" ht="15" hidden="false" customHeight="true" outlineLevel="0" collapsed="false">
      <c r="A19" s="16" t="s">
        <v>32</v>
      </c>
      <c r="B19" s="17" t="n">
        <v>9.11</v>
      </c>
      <c r="C19" s="17" t="n">
        <v>9.99</v>
      </c>
      <c r="D19" s="17" t="n">
        <v>10.44</v>
      </c>
      <c r="E19" s="17" t="n">
        <v>11.31</v>
      </c>
      <c r="F19" s="17" t="n">
        <v>12.34</v>
      </c>
      <c r="G19" s="17" t="n">
        <v>12.23</v>
      </c>
      <c r="H19" s="17" t="n">
        <v>13.42</v>
      </c>
      <c r="I19" s="17" t="n">
        <v>14.18</v>
      </c>
      <c r="J19" s="17" t="n">
        <v>15.04</v>
      </c>
      <c r="K19" s="17" t="n">
        <v>15.22</v>
      </c>
      <c r="L19" s="17" t="n">
        <v>15.7</v>
      </c>
      <c r="M19" s="17" t="n">
        <v>16.65</v>
      </c>
      <c r="N19" s="17" t="n">
        <v>18.16</v>
      </c>
      <c r="O19" s="17" t="n">
        <v>18.71</v>
      </c>
      <c r="P19" s="17" t="n">
        <v>19.73</v>
      </c>
      <c r="Q19" s="17" t="n">
        <v>19.88</v>
      </c>
      <c r="R19" s="17" t="n">
        <v>19.82</v>
      </c>
      <c r="S19" s="17" t="n">
        <v>21.46</v>
      </c>
      <c r="T19" s="17" t="n">
        <v>22.19</v>
      </c>
      <c r="U19" s="17" t="n">
        <v>24.93</v>
      </c>
      <c r="V19" s="17" t="n">
        <v>20.58</v>
      </c>
      <c r="W19" s="17" t="n">
        <v>25.46</v>
      </c>
      <c r="X19" s="17" t="n">
        <v>26.14</v>
      </c>
      <c r="Y19" s="17" t="n">
        <v>26.06</v>
      </c>
    </row>
    <row r="20" customFormat="false" ht="15" hidden="false" customHeight="true" outlineLevel="0" collapsed="false">
      <c r="A20" s="14" t="s">
        <v>33</v>
      </c>
      <c r="B20" s="15" t="n">
        <v>1.61</v>
      </c>
      <c r="C20" s="15" t="n">
        <v>1.69</v>
      </c>
      <c r="D20" s="15" t="n">
        <v>1.68</v>
      </c>
      <c r="E20" s="15" t="n">
        <v>1.68</v>
      </c>
      <c r="F20" s="15" t="n">
        <v>1.77</v>
      </c>
      <c r="G20" s="15" t="n">
        <v>1.88</v>
      </c>
      <c r="H20" s="15" t="n">
        <v>1.87</v>
      </c>
      <c r="I20" s="15" t="n">
        <v>2.04</v>
      </c>
      <c r="J20" s="15" t="n">
        <v>2.16</v>
      </c>
      <c r="K20" s="15" t="n">
        <v>2.22</v>
      </c>
      <c r="L20" s="15" t="n">
        <v>2.28</v>
      </c>
      <c r="M20" s="15" t="n">
        <v>2.25</v>
      </c>
      <c r="N20" s="15" t="n">
        <v>2.52</v>
      </c>
      <c r="O20" s="15" t="n">
        <v>2.58</v>
      </c>
      <c r="P20" s="15" t="n">
        <v>2.66</v>
      </c>
      <c r="Q20" s="15" t="n">
        <v>2.75</v>
      </c>
      <c r="R20" s="15" t="n">
        <v>2.97</v>
      </c>
      <c r="S20" s="15" t="n">
        <v>3.01</v>
      </c>
      <c r="T20" s="15" t="n">
        <v>3.1</v>
      </c>
      <c r="U20" s="15" t="n">
        <v>3.27</v>
      </c>
      <c r="V20" s="15" t="n">
        <v>2.89</v>
      </c>
      <c r="W20" s="15" t="n">
        <v>3.63</v>
      </c>
      <c r="X20" s="15" t="n">
        <v>3.93</v>
      </c>
      <c r="Y20" s="15" t="n">
        <v>4.09</v>
      </c>
    </row>
    <row r="21" customFormat="false" ht="15" hidden="false" customHeight="true" outlineLevel="0" collapsed="false">
      <c r="A21" s="16" t="s">
        <v>34</v>
      </c>
      <c r="B21" s="17" t="n">
        <v>2.26</v>
      </c>
      <c r="C21" s="17" t="n">
        <v>2.36</v>
      </c>
      <c r="D21" s="17" t="n">
        <v>2.42</v>
      </c>
      <c r="E21" s="17" t="n">
        <v>2.33</v>
      </c>
      <c r="F21" s="17" t="n">
        <v>2.34</v>
      </c>
      <c r="G21" s="17" t="n">
        <v>2.48</v>
      </c>
      <c r="H21" s="17" t="n">
        <v>2.46</v>
      </c>
      <c r="I21" s="17" t="n">
        <v>2.59</v>
      </c>
      <c r="J21" s="17" t="n">
        <v>2.66</v>
      </c>
      <c r="K21" s="17" t="n">
        <v>2.68</v>
      </c>
      <c r="L21" s="17" t="n">
        <v>2.68</v>
      </c>
      <c r="M21" s="17" t="n">
        <v>2.75</v>
      </c>
      <c r="N21" s="17" t="n">
        <v>2.64</v>
      </c>
      <c r="O21" s="17" t="n">
        <v>2.7</v>
      </c>
      <c r="P21" s="17" t="n">
        <v>2.83</v>
      </c>
      <c r="Q21" s="17" t="n">
        <v>2.79</v>
      </c>
      <c r="R21" s="17" t="n">
        <v>2.88</v>
      </c>
      <c r="S21" s="17" t="n">
        <v>2.83</v>
      </c>
      <c r="T21" s="17" t="n">
        <v>2.94</v>
      </c>
      <c r="U21" s="17" t="n">
        <v>3.06</v>
      </c>
      <c r="V21" s="17" t="n">
        <v>2.57</v>
      </c>
      <c r="W21" s="17" t="n">
        <v>3.05</v>
      </c>
      <c r="X21" s="17" t="n">
        <v>3.14</v>
      </c>
      <c r="Y21" s="17" t="n">
        <v>3.16</v>
      </c>
    </row>
    <row r="22" customFormat="false" ht="15" hidden="false" customHeight="true" outlineLevel="0" collapsed="false">
      <c r="A22" s="14" t="s">
        <v>35</v>
      </c>
      <c r="B22" s="15" t="n">
        <v>10.45</v>
      </c>
      <c r="C22" s="15" t="n">
        <v>10.27</v>
      </c>
      <c r="D22" s="15" t="n">
        <v>11.06</v>
      </c>
      <c r="E22" s="15" t="n">
        <v>11.44</v>
      </c>
      <c r="F22" s="15" t="n">
        <v>11.7</v>
      </c>
      <c r="G22" s="15" t="n">
        <v>11.69</v>
      </c>
      <c r="H22" s="15" t="n">
        <v>12.52</v>
      </c>
      <c r="I22" s="15" t="n">
        <v>13.45</v>
      </c>
      <c r="J22" s="15" t="n">
        <v>13.43</v>
      </c>
      <c r="K22" s="15" t="n">
        <v>13.06</v>
      </c>
      <c r="L22" s="15" t="n">
        <v>13.58</v>
      </c>
      <c r="M22" s="15" t="n">
        <v>14.17</v>
      </c>
      <c r="N22" s="15" t="n">
        <v>13.18</v>
      </c>
      <c r="O22" s="15" t="n">
        <v>13.03</v>
      </c>
      <c r="P22" s="15" t="n">
        <v>13.38</v>
      </c>
      <c r="Q22" s="15" t="n">
        <v>13.55</v>
      </c>
      <c r="R22" s="15" t="n">
        <v>12.54</v>
      </c>
      <c r="S22" s="15" t="n">
        <v>12.7</v>
      </c>
      <c r="T22" s="15" t="n">
        <v>13</v>
      </c>
      <c r="U22" s="15" t="n">
        <v>12.2</v>
      </c>
      <c r="V22" s="15" t="n">
        <v>10.15</v>
      </c>
      <c r="W22" s="15" t="n">
        <v>11.59</v>
      </c>
      <c r="X22" s="15" t="n">
        <v>13.21</v>
      </c>
      <c r="Y22" s="15" t="n">
        <v>12.78</v>
      </c>
    </row>
    <row r="23" customFormat="false" ht="15" hidden="false" customHeight="true" outlineLevel="0" collapsed="false">
      <c r="A23" s="16" t="s">
        <v>36</v>
      </c>
      <c r="B23" s="17" t="n">
        <v>3.36</v>
      </c>
      <c r="C23" s="17" t="n">
        <v>3.34</v>
      </c>
      <c r="D23" s="17" t="n">
        <v>3.03</v>
      </c>
      <c r="E23" s="17" t="n">
        <v>3.15</v>
      </c>
      <c r="F23" s="17" t="n">
        <v>3.3</v>
      </c>
      <c r="G23" s="17" t="n">
        <v>3.26</v>
      </c>
      <c r="H23" s="17" t="n">
        <v>3.57</v>
      </c>
      <c r="I23" s="17" t="n">
        <v>3.45</v>
      </c>
      <c r="J23" s="17" t="n">
        <v>3.73</v>
      </c>
      <c r="K23" s="17" t="n">
        <v>3.57</v>
      </c>
      <c r="L23" s="17" t="n">
        <v>3.81</v>
      </c>
      <c r="M23" s="17" t="n">
        <v>4.04</v>
      </c>
      <c r="N23" s="17" t="n">
        <v>4.16</v>
      </c>
      <c r="O23" s="17" t="n">
        <v>4.18</v>
      </c>
      <c r="P23" s="17" t="n">
        <v>4.28</v>
      </c>
      <c r="Q23" s="17" t="n">
        <v>4.23</v>
      </c>
      <c r="R23" s="17" t="n">
        <v>4.21</v>
      </c>
      <c r="S23" s="17" t="n">
        <v>4.25</v>
      </c>
      <c r="T23" s="17" t="n">
        <v>4.25</v>
      </c>
      <c r="U23" s="17" t="n">
        <v>4.33</v>
      </c>
      <c r="V23" s="17" t="n">
        <v>3.58</v>
      </c>
      <c r="W23" s="17" t="n">
        <v>4.21</v>
      </c>
      <c r="X23" s="17" t="n">
        <v>4.51</v>
      </c>
      <c r="Y23" s="17" t="n">
        <v>4.74</v>
      </c>
    </row>
    <row r="24" customFormat="false" ht="15" hidden="false" customHeight="true" outlineLevel="0" collapsed="false">
      <c r="A24" s="14" t="s">
        <v>37</v>
      </c>
      <c r="B24" s="15" t="n">
        <v>52.74</v>
      </c>
      <c r="C24" s="15" t="n">
        <v>51.59</v>
      </c>
      <c r="D24" s="15" t="n">
        <v>48.45</v>
      </c>
      <c r="E24" s="15" t="n">
        <v>43.68</v>
      </c>
      <c r="F24" s="15" t="n">
        <v>50.68</v>
      </c>
      <c r="G24" s="15" t="n">
        <v>53.42</v>
      </c>
      <c r="H24" s="15" t="n">
        <v>55.63</v>
      </c>
      <c r="I24" s="15" t="n">
        <v>53.01</v>
      </c>
      <c r="J24" s="15" t="n">
        <v>52.32</v>
      </c>
      <c r="K24" s="15" t="n">
        <v>54.91</v>
      </c>
      <c r="L24" s="15" t="n">
        <v>56.49</v>
      </c>
      <c r="M24" s="15" t="n">
        <v>53.5</v>
      </c>
      <c r="N24" s="15" t="n">
        <v>57.81</v>
      </c>
      <c r="O24" s="15" t="n">
        <v>59</v>
      </c>
      <c r="P24" s="15" t="n">
        <v>59.38</v>
      </c>
      <c r="Q24" s="15" t="n">
        <v>52.77</v>
      </c>
      <c r="R24" s="15" t="n">
        <v>39.34</v>
      </c>
      <c r="S24" s="15" t="n">
        <v>36.14</v>
      </c>
      <c r="T24" s="15" t="n">
        <v>29.52</v>
      </c>
      <c r="U24" s="15" t="n">
        <v>19.57</v>
      </c>
      <c r="V24" s="15" t="n">
        <v>13.75</v>
      </c>
      <c r="W24" s="15" t="n">
        <v>16.54</v>
      </c>
      <c r="X24" s="15" t="n">
        <v>17.8</v>
      </c>
      <c r="Y24" s="15" t="n">
        <v>18.32</v>
      </c>
    </row>
  </sheetData>
  <autoFilter ref="A3:Y24"/>
  <mergeCells count="2">
    <mergeCell ref="A1:Y1"/>
    <mergeCell ref="A2:Y2"/>
  </mergeCells>
  <conditionalFormatting sqref="B4:Y24">
    <cfRule type="colorScale" priority="2">
      <colorScale>
        <cfvo type="min" val="0"/>
        <cfvo type="max" val="0"/>
        <color rgb="FFFFFFFF"/>
        <color rgb="FFBBD7EC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36BAA"/>
    <pageSetUpPr fitToPage="true"/>
  </sheetPr>
  <dimension ref="A1:Y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25" min="2" style="1" width="10"/>
  </cols>
  <sheetData>
    <row r="1" customFormat="false" ht="21.75" hidden="false" customHeight="true" outlineLevel="0" collapsed="false">
      <c r="A1" s="10" t="s">
        <v>38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</row>
    <row r="2" customFormat="false" ht="25.5" hidden="false" customHeight="true" outlineLevel="0" collapsed="false">
      <c r="A2" s="12" t="s">
        <v>16</v>
      </c>
      <c r="B2" s="13" t="n">
        <v>2000</v>
      </c>
      <c r="C2" s="13" t="n">
        <v>2001</v>
      </c>
      <c r="D2" s="13" t="n">
        <v>2002</v>
      </c>
      <c r="E2" s="13" t="n">
        <v>2003</v>
      </c>
      <c r="F2" s="13" t="n">
        <v>2004</v>
      </c>
      <c r="G2" s="13" t="n">
        <v>2005</v>
      </c>
      <c r="H2" s="13" t="n">
        <v>2006</v>
      </c>
      <c r="I2" s="13" t="n">
        <v>2007</v>
      </c>
      <c r="J2" s="13" t="n">
        <v>2008</v>
      </c>
      <c r="K2" s="13" t="n">
        <v>2009</v>
      </c>
      <c r="L2" s="13" t="n">
        <v>2010</v>
      </c>
      <c r="M2" s="13" t="n">
        <v>2011</v>
      </c>
      <c r="N2" s="13" t="n">
        <v>2012</v>
      </c>
      <c r="O2" s="13" t="n">
        <v>2013</v>
      </c>
      <c r="P2" s="13" t="n">
        <v>2014</v>
      </c>
      <c r="Q2" s="13" t="n">
        <v>2015</v>
      </c>
      <c r="R2" s="13" t="n">
        <v>2016</v>
      </c>
      <c r="S2" s="13" t="n">
        <v>2017</v>
      </c>
      <c r="T2" s="13" t="n">
        <v>2018</v>
      </c>
      <c r="U2" s="13" t="n">
        <v>2019</v>
      </c>
      <c r="V2" s="13" t="n">
        <v>2020</v>
      </c>
      <c r="W2" s="13" t="n">
        <v>2021</v>
      </c>
      <c r="X2" s="13" t="n">
        <v>2022</v>
      </c>
      <c r="Y2" s="13" t="n">
        <v>2023</v>
      </c>
    </row>
    <row r="3" customFormat="false" ht="15" hidden="false" customHeight="true" outlineLevel="0" collapsed="false">
      <c r="A3" s="14" t="s">
        <v>17</v>
      </c>
      <c r="B3" s="18" t="n">
        <v>2.29</v>
      </c>
      <c r="C3" s="18" t="n">
        <v>2.241</v>
      </c>
      <c r="D3" s="18" t="n">
        <v>1.987</v>
      </c>
      <c r="E3" s="18" t="n">
        <v>2.246</v>
      </c>
      <c r="F3" s="18" t="n">
        <v>2.222</v>
      </c>
      <c r="G3" s="18" t="n">
        <v>2.067</v>
      </c>
      <c r="H3" s="18" t="n">
        <v>2.137</v>
      </c>
      <c r="I3" s="18" t="n">
        <v>2.1</v>
      </c>
      <c r="J3" s="18" t="n">
        <v>2.086</v>
      </c>
      <c r="K3" s="18" t="n">
        <v>2.072</v>
      </c>
      <c r="L3" s="18" t="n">
        <v>2.211</v>
      </c>
      <c r="M3" s="18" t="n">
        <v>2.202</v>
      </c>
      <c r="N3" s="18" t="n">
        <v>2.182</v>
      </c>
      <c r="O3" s="18" t="n">
        <v>2.347</v>
      </c>
      <c r="P3" s="18" t="n">
        <v>2.447</v>
      </c>
      <c r="Q3" s="18" t="n">
        <v>2.408</v>
      </c>
      <c r="R3" s="18" t="n">
        <v>2.465</v>
      </c>
      <c r="S3" s="18" t="n">
        <v>2.488</v>
      </c>
      <c r="T3" s="18" t="n">
        <v>2.547</v>
      </c>
      <c r="U3" s="18" t="n">
        <v>2.342</v>
      </c>
      <c r="V3" s="18" t="n">
        <v>2.129</v>
      </c>
      <c r="W3" s="18" t="n">
        <v>2.483</v>
      </c>
      <c r="X3" s="18" t="n">
        <v>2.446</v>
      </c>
      <c r="Y3" s="18" t="n">
        <v>2.538</v>
      </c>
    </row>
    <row r="4" customFormat="false" ht="15" hidden="false" customHeight="true" outlineLevel="0" collapsed="false">
      <c r="A4" s="16" t="s">
        <v>18</v>
      </c>
      <c r="B4" s="19" t="n">
        <v>0.544</v>
      </c>
      <c r="C4" s="19" t="n">
        <v>0.597</v>
      </c>
      <c r="D4" s="19" t="n">
        <v>0.603</v>
      </c>
      <c r="E4" s="19" t="n">
        <v>0.616</v>
      </c>
      <c r="F4" s="19" t="n">
        <v>0.664</v>
      </c>
      <c r="G4" s="19" t="n">
        <v>0.697</v>
      </c>
      <c r="H4" s="19" t="n">
        <v>0.716</v>
      </c>
      <c r="I4" s="19" t="n">
        <v>0.77</v>
      </c>
      <c r="J4" s="19" t="n">
        <v>0.776</v>
      </c>
      <c r="K4" s="19" t="n">
        <v>0.762</v>
      </c>
      <c r="L4" s="19" t="n">
        <v>0.79</v>
      </c>
      <c r="M4" s="19" t="n">
        <v>0.829</v>
      </c>
      <c r="N4" s="19" t="n">
        <v>0.826</v>
      </c>
      <c r="O4" s="19" t="n">
        <v>0.858</v>
      </c>
      <c r="P4" s="19" t="n">
        <v>0.911</v>
      </c>
      <c r="Q4" s="19" t="n">
        <v>0.876</v>
      </c>
      <c r="R4" s="19" t="n">
        <v>0.93</v>
      </c>
      <c r="S4" s="19" t="n">
        <v>0.916</v>
      </c>
      <c r="T4" s="19" t="n">
        <v>0.943</v>
      </c>
      <c r="U4" s="19" t="n">
        <v>0.97</v>
      </c>
      <c r="V4" s="19" t="n">
        <v>0.836</v>
      </c>
      <c r="W4" s="19" t="n">
        <v>1.012</v>
      </c>
      <c r="X4" s="19" t="n">
        <v>1.082</v>
      </c>
      <c r="Y4" s="19" t="n">
        <v>1.097</v>
      </c>
    </row>
    <row r="5" customFormat="false" ht="15" hidden="false" customHeight="true" outlineLevel="0" collapsed="false">
      <c r="A5" s="14" t="s">
        <v>19</v>
      </c>
      <c r="B5" s="18" t="n">
        <v>1.057</v>
      </c>
      <c r="C5" s="18" t="n">
        <v>1.059</v>
      </c>
      <c r="D5" s="18" t="n">
        <v>1.087</v>
      </c>
      <c r="E5" s="18" t="n">
        <v>1.089</v>
      </c>
      <c r="F5" s="18" t="n">
        <v>1.095</v>
      </c>
      <c r="G5" s="18" t="n">
        <v>1.059</v>
      </c>
      <c r="H5" s="18" t="n">
        <v>1.078</v>
      </c>
      <c r="I5" s="18" t="n">
        <v>1.072</v>
      </c>
      <c r="J5" s="18" t="n">
        <v>1.107</v>
      </c>
      <c r="K5" s="18" t="n">
        <v>1.086</v>
      </c>
      <c r="L5" s="18" t="n">
        <v>1.033</v>
      </c>
      <c r="M5" s="18" t="n">
        <v>1.087</v>
      </c>
      <c r="N5" s="18" t="n">
        <v>1.157</v>
      </c>
      <c r="O5" s="18" t="n">
        <v>1.11</v>
      </c>
      <c r="P5" s="18" t="n">
        <v>1.127</v>
      </c>
      <c r="Q5" s="18" t="n">
        <v>1.063</v>
      </c>
      <c r="R5" s="18" t="n">
        <v>1.025</v>
      </c>
      <c r="S5" s="18" t="n">
        <v>1.019</v>
      </c>
      <c r="T5" s="18" t="n">
        <v>1.046</v>
      </c>
      <c r="U5" s="18" t="n">
        <v>1.072</v>
      </c>
      <c r="V5" s="18" t="n">
        <v>0.902</v>
      </c>
      <c r="W5" s="18" t="n">
        <v>1.136</v>
      </c>
      <c r="X5" s="18" t="n">
        <v>1.133</v>
      </c>
      <c r="Y5" s="18" t="n">
        <v>1.173</v>
      </c>
    </row>
    <row r="6" customFormat="false" ht="15" hidden="false" customHeight="true" outlineLevel="0" collapsed="false">
      <c r="A6" s="16" t="s">
        <v>20</v>
      </c>
      <c r="B6" s="19" t="n">
        <v>1.253</v>
      </c>
      <c r="C6" s="19" t="n">
        <v>1.26</v>
      </c>
      <c r="D6" s="19" t="n">
        <v>1.303</v>
      </c>
      <c r="E6" s="19" t="n">
        <v>1.32</v>
      </c>
      <c r="F6" s="19" t="n">
        <v>1.418</v>
      </c>
      <c r="G6" s="19" t="n">
        <v>1.523</v>
      </c>
      <c r="H6" s="19" t="n">
        <v>1.607</v>
      </c>
      <c r="I6" s="19" t="n">
        <v>1.663</v>
      </c>
      <c r="J6" s="19" t="n">
        <v>1.708</v>
      </c>
      <c r="K6" s="19" t="n">
        <v>1.77</v>
      </c>
      <c r="L6" s="19" t="n">
        <v>1.813</v>
      </c>
      <c r="M6" s="19" t="n">
        <v>1.888</v>
      </c>
      <c r="N6" s="19" t="n">
        <v>1.92</v>
      </c>
      <c r="O6" s="19" t="n">
        <v>1.963</v>
      </c>
      <c r="P6" s="19" t="n">
        <v>1.967</v>
      </c>
      <c r="Q6" s="19" t="n">
        <v>1.992</v>
      </c>
      <c r="R6" s="19" t="n">
        <v>2.072</v>
      </c>
      <c r="S6" s="19" t="n">
        <v>2.075</v>
      </c>
      <c r="T6" s="19" t="n">
        <v>2.088</v>
      </c>
      <c r="U6" s="19" t="n">
        <v>2.076</v>
      </c>
      <c r="V6" s="19" t="n">
        <v>1.754</v>
      </c>
      <c r="W6" s="19" t="n">
        <v>2.083</v>
      </c>
      <c r="X6" s="19" t="n">
        <v>2.096</v>
      </c>
      <c r="Y6" s="19" t="n">
        <v>2.173</v>
      </c>
    </row>
    <row r="7" customFormat="false" ht="15" hidden="false" customHeight="true" outlineLevel="0" collapsed="false">
      <c r="A7" s="14" t="s">
        <v>21</v>
      </c>
      <c r="B7" s="18" t="n">
        <v>0.556</v>
      </c>
      <c r="C7" s="18" t="n">
        <v>0.565</v>
      </c>
      <c r="D7" s="18" t="n">
        <v>0.571</v>
      </c>
      <c r="E7" s="18" t="n">
        <v>0.622</v>
      </c>
      <c r="F7" s="18" t="n">
        <v>0.617</v>
      </c>
      <c r="G7" s="18" t="n">
        <v>0.621</v>
      </c>
      <c r="H7" s="18" t="n">
        <v>0.634</v>
      </c>
      <c r="I7" s="18" t="n">
        <v>0.647</v>
      </c>
      <c r="J7" s="18" t="n">
        <v>0.705</v>
      </c>
      <c r="K7" s="18" t="n">
        <v>0.676</v>
      </c>
      <c r="L7" s="18" t="n">
        <v>0.717</v>
      </c>
      <c r="M7" s="18" t="n">
        <v>0.741</v>
      </c>
      <c r="N7" s="18" t="n">
        <v>0.748</v>
      </c>
      <c r="O7" s="18" t="n">
        <v>0.742</v>
      </c>
      <c r="P7" s="18" t="n">
        <v>0.782</v>
      </c>
      <c r="Q7" s="18" t="n">
        <v>0.804</v>
      </c>
      <c r="R7" s="18" t="n">
        <v>0.818</v>
      </c>
      <c r="S7" s="18" t="n">
        <v>0.795</v>
      </c>
      <c r="T7" s="18" t="n">
        <v>0.804</v>
      </c>
      <c r="U7" s="18" t="n">
        <v>0.858</v>
      </c>
      <c r="V7" s="18" t="n">
        <v>0.741</v>
      </c>
      <c r="W7" s="18" t="n">
        <v>0.901</v>
      </c>
      <c r="X7" s="18" t="n">
        <v>0.905</v>
      </c>
      <c r="Y7" s="18" t="n">
        <v>0.954</v>
      </c>
    </row>
    <row r="8" customFormat="false" ht="15" hidden="false" customHeight="true" outlineLevel="0" collapsed="false">
      <c r="A8" s="16" t="s">
        <v>22</v>
      </c>
      <c r="B8" s="19" t="n">
        <v>0.592</v>
      </c>
      <c r="C8" s="19" t="n">
        <v>0.587</v>
      </c>
      <c r="D8" s="19" t="n">
        <v>0.627</v>
      </c>
      <c r="E8" s="19" t="n">
        <v>0.664</v>
      </c>
      <c r="F8" s="19" t="n">
        <v>0.664</v>
      </c>
      <c r="G8" s="19" t="n">
        <v>0.679</v>
      </c>
      <c r="H8" s="19" t="n">
        <v>0.729</v>
      </c>
      <c r="I8" s="19" t="n">
        <v>0.751</v>
      </c>
      <c r="J8" s="19" t="n">
        <v>0.777</v>
      </c>
      <c r="K8" s="19" t="n">
        <v>0.762</v>
      </c>
      <c r="L8" s="19" t="n">
        <v>0.809</v>
      </c>
      <c r="M8" s="19" t="n">
        <v>0.82</v>
      </c>
      <c r="N8" s="19" t="n">
        <v>0.823</v>
      </c>
      <c r="O8" s="19" t="n">
        <v>0.831</v>
      </c>
      <c r="P8" s="19" t="n">
        <v>0.908</v>
      </c>
      <c r="Q8" s="19" t="n">
        <v>0.902</v>
      </c>
      <c r="R8" s="19" t="n">
        <v>0.925</v>
      </c>
      <c r="S8" s="19" t="n">
        <v>0.928</v>
      </c>
      <c r="T8" s="19" t="n">
        <v>0.975</v>
      </c>
      <c r="U8" s="19" t="n">
        <v>0.997</v>
      </c>
      <c r="V8" s="19" t="n">
        <v>0.855</v>
      </c>
      <c r="W8" s="19" t="n">
        <v>0.997</v>
      </c>
      <c r="X8" s="19" t="n">
        <v>1.099</v>
      </c>
      <c r="Y8" s="19" t="n">
        <v>1.117</v>
      </c>
    </row>
    <row r="9" customFormat="false" ht="15" hidden="false" customHeight="true" outlineLevel="0" collapsed="false">
      <c r="A9" s="14" t="s">
        <v>23</v>
      </c>
      <c r="B9" s="18" t="n">
        <v>0.845</v>
      </c>
      <c r="C9" s="18" t="n">
        <v>0.861</v>
      </c>
      <c r="D9" s="18" t="n">
        <v>0.833</v>
      </c>
      <c r="E9" s="18" t="n">
        <v>0.873</v>
      </c>
      <c r="F9" s="18" t="n">
        <v>0.969</v>
      </c>
      <c r="G9" s="18" t="n">
        <v>0.904</v>
      </c>
      <c r="H9" s="18" t="n">
        <v>0.915</v>
      </c>
      <c r="I9" s="18" t="n">
        <v>0.89</v>
      </c>
      <c r="J9" s="18" t="n">
        <v>0.903</v>
      </c>
      <c r="K9" s="18" t="n">
        <v>0.904</v>
      </c>
      <c r="L9" s="18" t="n">
        <v>0.917</v>
      </c>
      <c r="M9" s="18" t="n">
        <v>0.918</v>
      </c>
      <c r="N9" s="18" t="n">
        <v>0.922</v>
      </c>
      <c r="O9" s="18" t="n">
        <v>0.901</v>
      </c>
      <c r="P9" s="18" t="n">
        <v>0.969</v>
      </c>
      <c r="Q9" s="18" t="n">
        <v>0.946</v>
      </c>
      <c r="R9" s="18" t="n">
        <v>0.986</v>
      </c>
      <c r="S9" s="18" t="n">
        <v>0.972</v>
      </c>
      <c r="T9" s="18" t="n">
        <v>0.99</v>
      </c>
      <c r="U9" s="18" t="n">
        <v>0.945</v>
      </c>
      <c r="V9" s="18" t="n">
        <v>0.83</v>
      </c>
      <c r="W9" s="18" t="n">
        <v>0.887</v>
      </c>
      <c r="X9" s="18" t="n">
        <v>0.88</v>
      </c>
      <c r="Y9" s="18" t="n">
        <v>0.935</v>
      </c>
    </row>
    <row r="10" customFormat="false" ht="15" hidden="false" customHeight="true" outlineLevel="0" collapsed="false">
      <c r="A10" s="16" t="s">
        <v>24</v>
      </c>
      <c r="B10" s="19" t="n">
        <v>0.609</v>
      </c>
      <c r="C10" s="19" t="n">
        <v>0.623</v>
      </c>
      <c r="D10" s="19" t="n">
        <v>0.664</v>
      </c>
      <c r="E10" s="19" t="n">
        <v>0.721</v>
      </c>
      <c r="F10" s="19" t="n">
        <v>0.744</v>
      </c>
      <c r="G10" s="19" t="n">
        <v>0.742</v>
      </c>
      <c r="H10" s="19" t="n">
        <v>0.81</v>
      </c>
      <c r="I10" s="19" t="n">
        <v>0.819</v>
      </c>
      <c r="J10" s="19" t="n">
        <v>0.938</v>
      </c>
      <c r="K10" s="19" t="n">
        <v>0.907</v>
      </c>
      <c r="L10" s="19" t="n">
        <v>0.92</v>
      </c>
      <c r="M10" s="19" t="n">
        <v>1.004</v>
      </c>
      <c r="N10" s="19" t="n">
        <v>1.038</v>
      </c>
      <c r="O10" s="19" t="n">
        <v>1.103</v>
      </c>
      <c r="P10" s="19" t="n">
        <v>1.191</v>
      </c>
      <c r="Q10" s="19" t="n">
        <v>1.197</v>
      </c>
      <c r="R10" s="19" t="n">
        <v>1.257</v>
      </c>
      <c r="S10" s="19" t="n">
        <v>1.349</v>
      </c>
      <c r="T10" s="19" t="n">
        <v>1.357</v>
      </c>
      <c r="U10" s="19" t="n">
        <v>1.404</v>
      </c>
      <c r="V10" s="19" t="n">
        <v>1.218</v>
      </c>
      <c r="W10" s="19" t="n">
        <v>1.408</v>
      </c>
      <c r="X10" s="19" t="n">
        <v>1.428</v>
      </c>
      <c r="Y10" s="19" t="n">
        <v>1.521</v>
      </c>
    </row>
    <row r="11" customFormat="false" ht="15" hidden="false" customHeight="true" outlineLevel="0" collapsed="false">
      <c r="A11" s="14" t="s">
        <v>25</v>
      </c>
      <c r="B11" s="18" t="n">
        <v>0.422</v>
      </c>
      <c r="C11" s="18" t="n">
        <v>0.445</v>
      </c>
      <c r="D11" s="18" t="n">
        <v>0.436</v>
      </c>
      <c r="E11" s="18" t="n">
        <v>0.443</v>
      </c>
      <c r="F11" s="18" t="n">
        <v>0.466</v>
      </c>
      <c r="G11" s="18" t="n">
        <v>0.482</v>
      </c>
      <c r="H11" s="18" t="n">
        <v>0.511</v>
      </c>
      <c r="I11" s="18" t="n">
        <v>0.496</v>
      </c>
      <c r="J11" s="18" t="n">
        <v>0.492</v>
      </c>
      <c r="K11" s="18" t="n">
        <v>0.482</v>
      </c>
      <c r="L11" s="18" t="n">
        <v>0.517</v>
      </c>
      <c r="M11" s="18" t="n">
        <v>0.549</v>
      </c>
      <c r="N11" s="18" t="n">
        <v>0.573</v>
      </c>
      <c r="O11" s="18" t="n">
        <v>0.564</v>
      </c>
      <c r="P11" s="18" t="n">
        <v>0.579</v>
      </c>
      <c r="Q11" s="18" t="n">
        <v>0.586</v>
      </c>
      <c r="R11" s="18" t="n">
        <v>0.557</v>
      </c>
      <c r="S11" s="18" t="n">
        <v>0.597</v>
      </c>
      <c r="T11" s="18" t="n">
        <v>0.592</v>
      </c>
      <c r="U11" s="18" t="n">
        <v>0.598</v>
      </c>
      <c r="V11" s="18" t="n">
        <v>0.515</v>
      </c>
      <c r="W11" s="18" t="n">
        <v>0.561</v>
      </c>
      <c r="X11" s="18" t="n">
        <v>0.626</v>
      </c>
      <c r="Y11" s="18" t="n">
        <v>0.63</v>
      </c>
    </row>
    <row r="12" customFormat="false" ht="15" hidden="false" customHeight="true" outlineLevel="0" collapsed="false">
      <c r="A12" s="16" t="s">
        <v>26</v>
      </c>
      <c r="B12" s="19" t="n">
        <v>0.301</v>
      </c>
      <c r="C12" s="19" t="n">
        <v>0.311</v>
      </c>
      <c r="D12" s="19" t="n">
        <v>0.302</v>
      </c>
      <c r="E12" s="19" t="n">
        <v>0.316</v>
      </c>
      <c r="F12" s="19" t="n">
        <v>0.322</v>
      </c>
      <c r="G12" s="19" t="n">
        <v>0.329</v>
      </c>
      <c r="H12" s="19" t="n">
        <v>0.347</v>
      </c>
      <c r="I12" s="19" t="n">
        <v>0.358</v>
      </c>
      <c r="J12" s="19" t="n">
        <v>0.378</v>
      </c>
      <c r="K12" s="19" t="n">
        <v>0.362</v>
      </c>
      <c r="L12" s="19" t="n">
        <v>0.383</v>
      </c>
      <c r="M12" s="19" t="n">
        <v>0.384</v>
      </c>
      <c r="N12" s="19" t="n">
        <v>0.394</v>
      </c>
      <c r="O12" s="19" t="n">
        <v>0.39</v>
      </c>
      <c r="P12" s="19" t="n">
        <v>0.407</v>
      </c>
      <c r="Q12" s="19" t="n">
        <v>0.423</v>
      </c>
      <c r="R12" s="19" t="n">
        <v>0.434</v>
      </c>
      <c r="S12" s="19" t="n">
        <v>0.431</v>
      </c>
      <c r="T12" s="19" t="n">
        <v>0.463</v>
      </c>
      <c r="U12" s="19" t="n">
        <v>0.472</v>
      </c>
      <c r="V12" s="19" t="n">
        <v>0.399</v>
      </c>
      <c r="W12" s="19" t="n">
        <v>0.486</v>
      </c>
      <c r="X12" s="19" t="n">
        <v>0.508</v>
      </c>
      <c r="Y12" s="19" t="n">
        <v>0.506</v>
      </c>
    </row>
    <row r="13" customFormat="false" ht="15" hidden="false" customHeight="true" outlineLevel="0" collapsed="false">
      <c r="A13" s="14" t="s">
        <v>27</v>
      </c>
      <c r="B13" s="18" t="n">
        <v>0.242</v>
      </c>
      <c r="C13" s="18" t="n">
        <v>0.249</v>
      </c>
      <c r="D13" s="18" t="n">
        <v>0.257</v>
      </c>
      <c r="E13" s="18" t="n">
        <v>0.259</v>
      </c>
      <c r="F13" s="18" t="n">
        <v>0.255</v>
      </c>
      <c r="G13" s="18" t="n">
        <v>0.285</v>
      </c>
      <c r="H13" s="18" t="n">
        <v>0.288</v>
      </c>
      <c r="I13" s="18" t="n">
        <v>0.295</v>
      </c>
      <c r="J13" s="18" t="n">
        <v>0.295</v>
      </c>
      <c r="K13" s="18" t="n">
        <v>0.294</v>
      </c>
      <c r="L13" s="18" t="n">
        <v>0.305</v>
      </c>
      <c r="M13" s="18" t="n">
        <v>0.292</v>
      </c>
      <c r="N13" s="18" t="n">
        <v>0.307</v>
      </c>
      <c r="O13" s="18" t="n">
        <v>0.326</v>
      </c>
      <c r="P13" s="18" t="n">
        <v>0.327</v>
      </c>
      <c r="Q13" s="18" t="n">
        <v>0.341</v>
      </c>
      <c r="R13" s="18" t="n">
        <v>0.337</v>
      </c>
      <c r="S13" s="18" t="n">
        <v>0.352</v>
      </c>
      <c r="T13" s="18" t="n">
        <v>0.354</v>
      </c>
      <c r="U13" s="18" t="n">
        <v>0.345</v>
      </c>
      <c r="V13" s="18" t="n">
        <v>0.291</v>
      </c>
      <c r="W13" s="18" t="n">
        <v>0.348</v>
      </c>
      <c r="X13" s="18" t="n">
        <v>0.361</v>
      </c>
      <c r="Y13" s="18" t="n">
        <v>0.393</v>
      </c>
    </row>
    <row r="14" customFormat="false" ht="15" hidden="false" customHeight="true" outlineLevel="0" collapsed="false">
      <c r="A14" s="16" t="s">
        <v>28</v>
      </c>
      <c r="B14" s="19" t="n">
        <v>1.167</v>
      </c>
      <c r="C14" s="19" t="n">
        <v>1.14</v>
      </c>
      <c r="D14" s="19" t="n">
        <v>1.169</v>
      </c>
      <c r="E14" s="19" t="n">
        <v>1.179</v>
      </c>
      <c r="F14" s="19" t="n">
        <v>1.122</v>
      </c>
      <c r="G14" s="19" t="n">
        <v>1.117</v>
      </c>
      <c r="H14" s="19" t="n">
        <v>1.144</v>
      </c>
      <c r="I14" s="19" t="n">
        <v>1.154</v>
      </c>
      <c r="J14" s="19" t="n">
        <v>1.16</v>
      </c>
      <c r="K14" s="19" t="n">
        <v>1.133</v>
      </c>
      <c r="L14" s="19" t="n">
        <v>1.163</v>
      </c>
      <c r="M14" s="19" t="n">
        <v>1.072</v>
      </c>
      <c r="N14" s="19" t="n">
        <v>1.136</v>
      </c>
      <c r="O14" s="19" t="n">
        <v>1.155</v>
      </c>
      <c r="P14" s="19" t="n">
        <v>1.083</v>
      </c>
      <c r="Q14" s="19" t="n">
        <v>1.153</v>
      </c>
      <c r="R14" s="19" t="n">
        <v>1.191</v>
      </c>
      <c r="S14" s="19" t="n">
        <v>1.206</v>
      </c>
      <c r="T14" s="19" t="n">
        <v>1.217</v>
      </c>
      <c r="U14" s="19" t="n">
        <v>1.22</v>
      </c>
      <c r="V14" s="19" t="n">
        <v>0.943</v>
      </c>
      <c r="W14" s="19" t="n">
        <v>1.074</v>
      </c>
      <c r="X14" s="19" t="n">
        <v>1.079</v>
      </c>
      <c r="Y14" s="19" t="n">
        <v>1.109</v>
      </c>
    </row>
    <row r="15" customFormat="false" ht="15" hidden="false" customHeight="true" outlineLevel="0" collapsed="false">
      <c r="A15" s="14" t="s">
        <v>29</v>
      </c>
      <c r="B15" s="18" t="n">
        <v>1.531</v>
      </c>
      <c r="C15" s="18" t="n">
        <v>1.546</v>
      </c>
      <c r="D15" s="18" t="n">
        <v>1.548</v>
      </c>
      <c r="E15" s="18" t="n">
        <v>1.54</v>
      </c>
      <c r="F15" s="18" t="n">
        <v>1.561</v>
      </c>
      <c r="G15" s="18" t="n">
        <v>1.595</v>
      </c>
      <c r="H15" s="18" t="n">
        <v>1.714</v>
      </c>
      <c r="I15" s="18" t="n">
        <v>1.654</v>
      </c>
      <c r="J15" s="18" t="n">
        <v>1.746</v>
      </c>
      <c r="K15" s="18" t="n">
        <v>1.688</v>
      </c>
      <c r="L15" s="18" t="n">
        <v>1.675</v>
      </c>
      <c r="M15" s="18" t="n">
        <v>1.641</v>
      </c>
      <c r="N15" s="18" t="n">
        <v>1.809</v>
      </c>
      <c r="O15" s="18" t="n">
        <v>1.879</v>
      </c>
      <c r="P15" s="18" t="n">
        <v>1.838</v>
      </c>
      <c r="Q15" s="18" t="n">
        <v>1.868</v>
      </c>
      <c r="R15" s="18" t="n">
        <v>1.867</v>
      </c>
      <c r="S15" s="18" t="n">
        <v>1.904</v>
      </c>
      <c r="T15" s="18" t="n">
        <v>1.939</v>
      </c>
      <c r="U15" s="18" t="n">
        <v>1.962</v>
      </c>
      <c r="V15" s="18" t="n">
        <v>1.643</v>
      </c>
      <c r="W15" s="18" t="n">
        <v>1.977</v>
      </c>
      <c r="X15" s="18" t="n">
        <v>1.974</v>
      </c>
      <c r="Y15" s="18" t="n">
        <v>1.917</v>
      </c>
    </row>
    <row r="16" customFormat="false" ht="15" hidden="false" customHeight="true" outlineLevel="0" collapsed="false">
      <c r="A16" s="16" t="s">
        <v>30</v>
      </c>
      <c r="B16" s="19" t="n">
        <v>0.243</v>
      </c>
      <c r="C16" s="19" t="n">
        <v>0.245</v>
      </c>
      <c r="D16" s="19" t="n">
        <v>0.239</v>
      </c>
      <c r="E16" s="19" t="n">
        <v>0.258</v>
      </c>
      <c r="F16" s="19" t="n">
        <v>0.263</v>
      </c>
      <c r="G16" s="19" t="n">
        <v>0.277</v>
      </c>
      <c r="H16" s="19" t="n">
        <v>0.291</v>
      </c>
      <c r="I16" s="19" t="n">
        <v>0.287</v>
      </c>
      <c r="J16" s="19" t="n">
        <v>0.295</v>
      </c>
      <c r="K16" s="19" t="n">
        <v>0.282</v>
      </c>
      <c r="L16" s="19" t="n">
        <v>0.31</v>
      </c>
      <c r="M16" s="19" t="n">
        <v>0.316</v>
      </c>
      <c r="N16" s="19" t="n">
        <v>0.329</v>
      </c>
      <c r="O16" s="19" t="n">
        <v>0.338</v>
      </c>
      <c r="P16" s="19" t="n">
        <v>0.345</v>
      </c>
      <c r="Q16" s="19" t="n">
        <v>0.35</v>
      </c>
      <c r="R16" s="19" t="n">
        <v>0.36</v>
      </c>
      <c r="S16" s="19" t="n">
        <v>0.362</v>
      </c>
      <c r="T16" s="19" t="n">
        <v>0.341</v>
      </c>
      <c r="U16" s="19" t="n">
        <v>0.344</v>
      </c>
      <c r="V16" s="19" t="n">
        <v>0.281</v>
      </c>
      <c r="W16" s="19" t="n">
        <v>0.335</v>
      </c>
      <c r="X16" s="19" t="n">
        <v>0.346</v>
      </c>
      <c r="Y16" s="19" t="n">
        <v>0.348</v>
      </c>
    </row>
    <row r="17" customFormat="false" ht="15" hidden="false" customHeight="true" outlineLevel="0" collapsed="false">
      <c r="A17" s="14" t="s">
        <v>31</v>
      </c>
      <c r="B17" s="18" t="n">
        <v>0.693</v>
      </c>
      <c r="C17" s="18" t="n">
        <v>0.721</v>
      </c>
      <c r="D17" s="18" t="n">
        <v>0.776</v>
      </c>
      <c r="E17" s="18" t="n">
        <v>0.789</v>
      </c>
      <c r="F17" s="18" t="n">
        <v>0.787</v>
      </c>
      <c r="G17" s="18" t="n">
        <v>0.791</v>
      </c>
      <c r="H17" s="18" t="n">
        <v>0.864</v>
      </c>
      <c r="I17" s="18" t="n">
        <v>0.926</v>
      </c>
      <c r="J17" s="18" t="n">
        <v>0.961</v>
      </c>
      <c r="K17" s="18" t="n">
        <v>0.946</v>
      </c>
      <c r="L17" s="18" t="n">
        <v>0.989</v>
      </c>
      <c r="M17" s="18" t="n">
        <v>1.007</v>
      </c>
      <c r="N17" s="18" t="n">
        <v>1.019</v>
      </c>
      <c r="O17" s="18" t="n">
        <v>1.112</v>
      </c>
      <c r="P17" s="18" t="n">
        <v>1.137</v>
      </c>
      <c r="Q17" s="18" t="n">
        <v>1.17</v>
      </c>
      <c r="R17" s="18" t="n">
        <v>1.235</v>
      </c>
      <c r="S17" s="18" t="n">
        <v>1.283</v>
      </c>
      <c r="T17" s="18" t="n">
        <v>1.309</v>
      </c>
      <c r="U17" s="18" t="n">
        <v>1.427</v>
      </c>
      <c r="V17" s="18" t="n">
        <v>1.11</v>
      </c>
      <c r="W17" s="18" t="n">
        <v>1.407</v>
      </c>
      <c r="X17" s="18" t="n">
        <v>1.388</v>
      </c>
      <c r="Y17" s="18" t="n">
        <v>1.486</v>
      </c>
    </row>
    <row r="18" customFormat="false" ht="15" hidden="false" customHeight="true" outlineLevel="0" collapsed="false">
      <c r="A18" s="16" t="s">
        <v>32</v>
      </c>
      <c r="B18" s="19" t="n">
        <v>0.351</v>
      </c>
      <c r="C18" s="19" t="n">
        <v>0.38</v>
      </c>
      <c r="D18" s="19" t="n">
        <v>0.392</v>
      </c>
      <c r="E18" s="19" t="n">
        <v>0.42</v>
      </c>
      <c r="F18" s="19" t="n">
        <v>0.453</v>
      </c>
      <c r="G18" s="19" t="n">
        <v>0.443</v>
      </c>
      <c r="H18" s="19" t="n">
        <v>0.481</v>
      </c>
      <c r="I18" s="19" t="n">
        <v>0.503</v>
      </c>
      <c r="J18" s="19" t="n">
        <v>0.528</v>
      </c>
      <c r="K18" s="19" t="n">
        <v>0.529</v>
      </c>
      <c r="L18" s="19" t="n">
        <v>0.54</v>
      </c>
      <c r="M18" s="19" t="n">
        <v>0.567</v>
      </c>
      <c r="N18" s="19" t="n">
        <v>0.612</v>
      </c>
      <c r="O18" s="19" t="n">
        <v>0.625</v>
      </c>
      <c r="P18" s="19" t="n">
        <v>0.653</v>
      </c>
      <c r="Q18" s="19" t="n">
        <v>0.652</v>
      </c>
      <c r="R18" s="19" t="n">
        <v>0.644</v>
      </c>
      <c r="S18" s="19" t="n">
        <v>0.691</v>
      </c>
      <c r="T18" s="19" t="n">
        <v>0.709</v>
      </c>
      <c r="U18" s="19" t="n">
        <v>0.79</v>
      </c>
      <c r="V18" s="19" t="n">
        <v>0.647</v>
      </c>
      <c r="W18" s="19" t="n">
        <v>0.794</v>
      </c>
      <c r="X18" s="19" t="n">
        <v>0.809</v>
      </c>
      <c r="Y18" s="19" t="n">
        <v>0.801</v>
      </c>
    </row>
    <row r="19" customFormat="false" ht="15" hidden="false" customHeight="true" outlineLevel="0" collapsed="false">
      <c r="A19" s="14" t="s">
        <v>33</v>
      </c>
      <c r="B19" s="18" t="n">
        <v>0.304</v>
      </c>
      <c r="C19" s="18" t="n">
        <v>0.314</v>
      </c>
      <c r="D19" s="18" t="n">
        <v>0.308</v>
      </c>
      <c r="E19" s="18" t="n">
        <v>0.304</v>
      </c>
      <c r="F19" s="18" t="n">
        <v>0.315</v>
      </c>
      <c r="G19" s="18" t="n">
        <v>0.329</v>
      </c>
      <c r="H19" s="18" t="n">
        <v>0.324</v>
      </c>
      <c r="I19" s="18" t="n">
        <v>0.348</v>
      </c>
      <c r="J19" s="18" t="n">
        <v>0.364</v>
      </c>
      <c r="K19" s="18" t="n">
        <v>0.369</v>
      </c>
      <c r="L19" s="18" t="n">
        <v>0.374</v>
      </c>
      <c r="M19" s="18" t="n">
        <v>0.365</v>
      </c>
      <c r="N19" s="18" t="n">
        <v>0.405</v>
      </c>
      <c r="O19" s="18" t="n">
        <v>0.408</v>
      </c>
      <c r="P19" s="18" t="n">
        <v>0.417</v>
      </c>
      <c r="Q19" s="18" t="n">
        <v>0.426</v>
      </c>
      <c r="R19" s="18" t="n">
        <v>0.454</v>
      </c>
      <c r="S19" s="18" t="n">
        <v>0.456</v>
      </c>
      <c r="T19" s="18" t="n">
        <v>0.465</v>
      </c>
      <c r="U19" s="18" t="n">
        <v>0.486</v>
      </c>
      <c r="V19" s="18" t="n">
        <v>0.425</v>
      </c>
      <c r="W19" s="18" t="n">
        <v>0.528</v>
      </c>
      <c r="X19" s="18" t="n">
        <v>0.566</v>
      </c>
      <c r="Y19" s="18" t="n">
        <v>0.584</v>
      </c>
    </row>
    <row r="20" customFormat="false" ht="15" hidden="false" customHeight="true" outlineLevel="0" collapsed="false">
      <c r="A20" s="16" t="s">
        <v>34</v>
      </c>
      <c r="B20" s="19" t="n">
        <v>0.383</v>
      </c>
      <c r="C20" s="19" t="n">
        <v>0.398</v>
      </c>
      <c r="D20" s="19" t="n">
        <v>0.406</v>
      </c>
      <c r="E20" s="19" t="n">
        <v>0.39</v>
      </c>
      <c r="F20" s="19" t="n">
        <v>0.39</v>
      </c>
      <c r="G20" s="19" t="n">
        <v>0.411</v>
      </c>
      <c r="H20" s="19" t="n">
        <v>0.407</v>
      </c>
      <c r="I20" s="19" t="n">
        <v>0.426</v>
      </c>
      <c r="J20" s="19" t="n">
        <v>0.436</v>
      </c>
      <c r="K20" s="19" t="n">
        <v>0.438</v>
      </c>
      <c r="L20" s="19" t="n">
        <v>0.436</v>
      </c>
      <c r="M20" s="19" t="n">
        <v>0.447</v>
      </c>
      <c r="N20" s="19" t="n">
        <v>0.427</v>
      </c>
      <c r="O20" s="19" t="n">
        <v>0.435</v>
      </c>
      <c r="P20" s="19" t="n">
        <v>0.455</v>
      </c>
      <c r="Q20" s="19" t="n">
        <v>0.447</v>
      </c>
      <c r="R20" s="19" t="n">
        <v>0.459</v>
      </c>
      <c r="S20" s="19" t="n">
        <v>0.45</v>
      </c>
      <c r="T20" s="19" t="n">
        <v>0.466</v>
      </c>
      <c r="U20" s="19" t="n">
        <v>0.483</v>
      </c>
      <c r="V20" s="19" t="n">
        <v>0.404</v>
      </c>
      <c r="W20" s="19" t="n">
        <v>0.479</v>
      </c>
      <c r="X20" s="19" t="n">
        <v>0.492</v>
      </c>
      <c r="Y20" s="19" t="n">
        <v>0.494</v>
      </c>
    </row>
    <row r="21" customFormat="false" ht="15" hidden="false" customHeight="true" outlineLevel="0" collapsed="false">
      <c r="A21" s="14" t="s">
        <v>35</v>
      </c>
      <c r="B21" s="18" t="n">
        <v>8.231</v>
      </c>
      <c r="C21" s="18" t="n">
        <v>8.056</v>
      </c>
      <c r="D21" s="18" t="n">
        <v>8.647</v>
      </c>
      <c r="E21" s="18" t="n">
        <v>8.915</v>
      </c>
      <c r="F21" s="18" t="n">
        <v>9.093</v>
      </c>
      <c r="G21" s="18" t="n">
        <v>9.055</v>
      </c>
      <c r="H21" s="18" t="n">
        <v>9.666</v>
      </c>
      <c r="I21" s="18" t="n">
        <v>10.35</v>
      </c>
      <c r="J21" s="18" t="n">
        <v>10.305</v>
      </c>
      <c r="K21" s="18" t="n">
        <v>9.99</v>
      </c>
      <c r="L21" s="18" t="n">
        <v>10.365</v>
      </c>
      <c r="M21" s="18" t="n">
        <v>10.785</v>
      </c>
      <c r="N21" s="18" t="n">
        <v>10.003</v>
      </c>
      <c r="O21" s="18" t="n">
        <v>9.862</v>
      </c>
      <c r="P21" s="18" t="n">
        <v>10.1</v>
      </c>
      <c r="Q21" s="18" t="n">
        <v>10.198</v>
      </c>
      <c r="R21" s="18" t="n">
        <v>9.417</v>
      </c>
      <c r="S21" s="18" t="n">
        <v>9.517</v>
      </c>
      <c r="T21" s="18" t="n">
        <v>9.716</v>
      </c>
      <c r="U21" s="18" t="n">
        <v>9.099</v>
      </c>
      <c r="V21" s="18" t="n">
        <v>7.554</v>
      </c>
      <c r="W21" s="18" t="n">
        <v>8.607</v>
      </c>
      <c r="X21" s="18" t="n">
        <v>9.785</v>
      </c>
      <c r="Y21" s="18" t="n">
        <v>9.445</v>
      </c>
    </row>
    <row r="22" customFormat="false" ht="15" hidden="false" customHeight="true" outlineLevel="0" collapsed="false">
      <c r="A22" s="16" t="s">
        <v>36</v>
      </c>
      <c r="B22" s="19" t="n">
        <v>1.02</v>
      </c>
      <c r="C22" s="19" t="n">
        <v>1.007</v>
      </c>
      <c r="D22" s="19" t="n">
        <v>0.913</v>
      </c>
      <c r="E22" s="19" t="n">
        <v>0.946</v>
      </c>
      <c r="F22" s="19" t="n">
        <v>0.987</v>
      </c>
      <c r="G22" s="19" t="n">
        <v>0.971</v>
      </c>
      <c r="H22" s="19" t="n">
        <v>1.059</v>
      </c>
      <c r="I22" s="19" t="n">
        <v>1.022</v>
      </c>
      <c r="J22" s="19" t="n">
        <v>1.101</v>
      </c>
      <c r="K22" s="19" t="n">
        <v>1.052</v>
      </c>
      <c r="L22" s="19" t="n">
        <v>1.12</v>
      </c>
      <c r="M22" s="19" t="n">
        <v>1.184</v>
      </c>
      <c r="N22" s="19" t="n">
        <v>1.216</v>
      </c>
      <c r="O22" s="19" t="n">
        <v>1.217</v>
      </c>
      <c r="P22" s="19" t="n">
        <v>1.244</v>
      </c>
      <c r="Q22" s="19" t="n">
        <v>1.226</v>
      </c>
      <c r="R22" s="19" t="n">
        <v>1.217</v>
      </c>
      <c r="S22" s="19" t="n">
        <v>1.225</v>
      </c>
      <c r="T22" s="19" t="n">
        <v>1.224</v>
      </c>
      <c r="U22" s="19" t="n">
        <v>1.243</v>
      </c>
      <c r="V22" s="19" t="n">
        <v>1.026</v>
      </c>
      <c r="W22" s="19" t="n">
        <v>1.204</v>
      </c>
      <c r="X22" s="19" t="n">
        <v>1.284</v>
      </c>
      <c r="Y22" s="19" t="n">
        <v>1.348</v>
      </c>
    </row>
    <row r="23" customFormat="false" ht="15" hidden="false" customHeight="true" outlineLevel="0" collapsed="false">
      <c r="A23" s="14" t="s">
        <v>37</v>
      </c>
      <c r="B23" s="18" t="n">
        <v>2.153</v>
      </c>
      <c r="C23" s="18" t="n">
        <v>2.087</v>
      </c>
      <c r="D23" s="18" t="n">
        <v>1.944</v>
      </c>
      <c r="E23" s="18" t="n">
        <v>1.737</v>
      </c>
      <c r="F23" s="18" t="n">
        <v>1.999</v>
      </c>
      <c r="G23" s="18" t="n">
        <v>2.09</v>
      </c>
      <c r="H23" s="18" t="n">
        <v>2.159</v>
      </c>
      <c r="I23" s="18" t="n">
        <v>2.041</v>
      </c>
      <c r="J23" s="18" t="n">
        <v>1.999</v>
      </c>
      <c r="K23" s="18" t="n">
        <v>2.083</v>
      </c>
      <c r="L23" s="18" t="n">
        <v>2.127</v>
      </c>
      <c r="M23" s="18" t="n">
        <v>2</v>
      </c>
      <c r="N23" s="18" t="n">
        <v>2.146</v>
      </c>
      <c r="O23" s="18" t="n">
        <v>2.175</v>
      </c>
      <c r="P23" s="18" t="n">
        <v>2.174</v>
      </c>
      <c r="Q23" s="18" t="n">
        <v>1.92</v>
      </c>
      <c r="R23" s="18" t="n">
        <v>1.422</v>
      </c>
      <c r="S23" s="18" t="n">
        <v>1.298</v>
      </c>
      <c r="T23" s="18" t="n">
        <v>1.054</v>
      </c>
      <c r="U23" s="18" t="n">
        <v>0.695</v>
      </c>
      <c r="V23" s="18" t="n">
        <v>0.485</v>
      </c>
      <c r="W23" s="18" t="n">
        <v>0.58</v>
      </c>
      <c r="X23" s="18" t="n">
        <v>0.621</v>
      </c>
      <c r="Y23" s="18" t="n">
        <v>0.636</v>
      </c>
    </row>
  </sheetData>
  <autoFilter ref="A2:Y23"/>
  <mergeCells count="1">
    <mergeCell ref="A1:Y1"/>
  </mergeCells>
  <conditionalFormatting sqref="B3:Y23">
    <cfRule type="colorScale" priority="2">
      <colorScale>
        <cfvo type="min" val="0"/>
        <cfvo type="max" val="0"/>
        <color rgb="FFFFFFFF"/>
        <color rgb="FFBBD7EC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36BAA"/>
    <pageSetUpPr fitToPage="true"/>
  </sheetPr>
  <dimension ref="A1:Y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25" min="2" style="1" width="10"/>
  </cols>
  <sheetData>
    <row r="1" customFormat="false" ht="21.75" hidden="false" customHeight="true" outlineLevel="0" collapsed="false">
      <c r="A1" s="10" t="s">
        <v>39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</row>
    <row r="2" customFormat="false" ht="25.5" hidden="false" customHeight="true" outlineLevel="0" collapsed="false">
      <c r="A2" s="12" t="s">
        <v>16</v>
      </c>
      <c r="B2" s="13" t="n">
        <v>2000</v>
      </c>
      <c r="C2" s="13" t="n">
        <v>2001</v>
      </c>
      <c r="D2" s="13" t="n">
        <v>2002</v>
      </c>
      <c r="E2" s="13" t="n">
        <v>2003</v>
      </c>
      <c r="F2" s="13" t="n">
        <v>2004</v>
      </c>
      <c r="G2" s="13" t="n">
        <v>2005</v>
      </c>
      <c r="H2" s="13" t="n">
        <v>2006</v>
      </c>
      <c r="I2" s="13" t="n">
        <v>2007</v>
      </c>
      <c r="J2" s="13" t="n">
        <v>2008</v>
      </c>
      <c r="K2" s="13" t="n">
        <v>2009</v>
      </c>
      <c r="L2" s="13" t="n">
        <v>2010</v>
      </c>
      <c r="M2" s="13" t="n">
        <v>2011</v>
      </c>
      <c r="N2" s="13" t="n">
        <v>2012</v>
      </c>
      <c r="O2" s="13" t="n">
        <v>2013</v>
      </c>
      <c r="P2" s="13" t="n">
        <v>2014</v>
      </c>
      <c r="Q2" s="13" t="n">
        <v>2015</v>
      </c>
      <c r="R2" s="13" t="n">
        <v>2016</v>
      </c>
      <c r="S2" s="13" t="n">
        <v>2017</v>
      </c>
      <c r="T2" s="13" t="n">
        <v>2018</v>
      </c>
      <c r="U2" s="13" t="n">
        <v>2019</v>
      </c>
      <c r="V2" s="13" t="n">
        <v>2020</v>
      </c>
      <c r="W2" s="13" t="n">
        <v>2021</v>
      </c>
      <c r="X2" s="13" t="n">
        <v>2022</v>
      </c>
      <c r="Y2" s="13" t="n">
        <v>2023</v>
      </c>
    </row>
    <row r="3" customFormat="false" ht="15" hidden="false" customHeight="true" outlineLevel="0" collapsed="false">
      <c r="A3" s="14" t="s">
        <v>17</v>
      </c>
      <c r="B3" s="20" t="n">
        <v>0.3192</v>
      </c>
      <c r="C3" s="20" t="n">
        <v>0.3268</v>
      </c>
      <c r="D3" s="20" t="n">
        <v>0.341</v>
      </c>
      <c r="E3" s="20" t="n">
        <v>0.3308</v>
      </c>
      <c r="F3" s="20" t="n">
        <v>0.3329</v>
      </c>
      <c r="G3" s="20" t="n">
        <v>0.3275</v>
      </c>
      <c r="H3" s="20" t="n">
        <v>0.3363</v>
      </c>
      <c r="I3" s="20" t="n">
        <v>0.3358</v>
      </c>
      <c r="J3" s="20" t="n">
        <v>0.3582</v>
      </c>
      <c r="K3" s="20" t="n">
        <v>0.3561</v>
      </c>
      <c r="L3" s="20" t="n">
        <v>0.3417</v>
      </c>
      <c r="M3" s="20" t="n">
        <v>0.3679</v>
      </c>
      <c r="N3" s="20" t="n">
        <v>0.3629</v>
      </c>
      <c r="O3" s="20" t="n">
        <v>0.3804</v>
      </c>
      <c r="P3" s="20" t="n">
        <v>0.3678</v>
      </c>
      <c r="Q3" s="20" t="n">
        <v>0.3663</v>
      </c>
      <c r="R3" s="20" t="n">
        <v>0.3906</v>
      </c>
      <c r="S3" s="20" t="n">
        <v>0.3916</v>
      </c>
      <c r="T3" s="20" t="n">
        <v>0.3856</v>
      </c>
      <c r="U3" s="20" t="n">
        <v>0.3914</v>
      </c>
      <c r="V3" s="20" t="n">
        <v>0.3973</v>
      </c>
      <c r="W3" s="20" t="n">
        <v>0.3992</v>
      </c>
      <c r="X3" s="20" t="n">
        <v>0.3914</v>
      </c>
      <c r="Y3" s="20" t="n">
        <v>0.4043</v>
      </c>
    </row>
    <row r="4" customFormat="false" ht="15" hidden="false" customHeight="true" outlineLevel="0" collapsed="false">
      <c r="A4" s="16" t="s">
        <v>18</v>
      </c>
      <c r="B4" s="21" t="n">
        <v>0.4183</v>
      </c>
      <c r="C4" s="21" t="n">
        <v>0.4256</v>
      </c>
      <c r="D4" s="21" t="n">
        <v>0.422</v>
      </c>
      <c r="E4" s="21" t="n">
        <v>0.413</v>
      </c>
      <c r="F4" s="21" t="n">
        <v>0.42</v>
      </c>
      <c r="G4" s="21" t="n">
        <v>0.4238</v>
      </c>
      <c r="H4" s="21" t="n">
        <v>0.4145</v>
      </c>
      <c r="I4" s="21" t="n">
        <v>0.4203</v>
      </c>
      <c r="J4" s="21" t="n">
        <v>0.4035</v>
      </c>
      <c r="K4" s="21" t="n">
        <v>0.3856</v>
      </c>
      <c r="L4" s="21" t="n">
        <v>0.3946</v>
      </c>
      <c r="M4" s="21" t="n">
        <v>0.3914</v>
      </c>
      <c r="N4" s="21" t="n">
        <v>0.3896</v>
      </c>
      <c r="O4" s="21" t="n">
        <v>0.3835</v>
      </c>
      <c r="P4" s="21" t="n">
        <v>0.379</v>
      </c>
      <c r="Q4" s="21" t="n">
        <v>0.375</v>
      </c>
      <c r="R4" s="21" t="n">
        <v>0.3702</v>
      </c>
      <c r="S4" s="21" t="n">
        <v>0.3593</v>
      </c>
      <c r="T4" s="21" t="n">
        <v>0.3667</v>
      </c>
      <c r="U4" s="21" t="n">
        <v>0.36</v>
      </c>
      <c r="V4" s="21" t="n">
        <v>0.3618</v>
      </c>
      <c r="W4" s="21" t="n">
        <v>0.3581</v>
      </c>
      <c r="X4" s="21" t="n">
        <v>0.3459</v>
      </c>
      <c r="Y4" s="21" t="n">
        <v>0.363</v>
      </c>
    </row>
    <row r="5" customFormat="false" ht="15" hidden="false" customHeight="true" outlineLevel="0" collapsed="false">
      <c r="A5" s="14" t="s">
        <v>19</v>
      </c>
      <c r="B5" s="20" t="n">
        <v>0.8182</v>
      </c>
      <c r="C5" s="20" t="n">
        <v>0.826</v>
      </c>
      <c r="D5" s="20" t="n">
        <v>0.8299</v>
      </c>
      <c r="E5" s="20" t="n">
        <v>0.8246</v>
      </c>
      <c r="F5" s="20" t="n">
        <v>0.8264</v>
      </c>
      <c r="G5" s="20" t="n">
        <v>0.8256</v>
      </c>
      <c r="H5" s="20" t="n">
        <v>0.8268</v>
      </c>
      <c r="I5" s="20" t="n">
        <v>0.8222</v>
      </c>
      <c r="J5" s="20" t="n">
        <v>0.8324</v>
      </c>
      <c r="K5" s="20" t="n">
        <v>0.8431</v>
      </c>
      <c r="L5" s="20" t="n">
        <v>0.8368</v>
      </c>
      <c r="M5" s="20" t="n">
        <v>0.8448</v>
      </c>
      <c r="N5" s="20" t="n">
        <v>0.8516</v>
      </c>
      <c r="O5" s="20" t="n">
        <v>0.8402</v>
      </c>
      <c r="P5" s="20" t="n">
        <v>0.8595</v>
      </c>
      <c r="Q5" s="20" t="n">
        <v>0.8557</v>
      </c>
      <c r="R5" s="20" t="n">
        <v>0.8484</v>
      </c>
      <c r="S5" s="20" t="n">
        <v>0.8554</v>
      </c>
      <c r="T5" s="20" t="n">
        <v>0.8605</v>
      </c>
      <c r="U5" s="20" t="n">
        <v>0.8604</v>
      </c>
      <c r="V5" s="20" t="n">
        <v>0.8603</v>
      </c>
      <c r="W5" s="20" t="n">
        <v>0.8803</v>
      </c>
      <c r="X5" s="20" t="n">
        <v>0.8561</v>
      </c>
      <c r="Y5" s="20" t="n">
        <v>0.8638</v>
      </c>
    </row>
    <row r="6" customFormat="false" ht="15" hidden="false" customHeight="true" outlineLevel="0" collapsed="false">
      <c r="A6" s="16" t="s">
        <v>20</v>
      </c>
      <c r="B6" s="21" t="n">
        <v>0.4602</v>
      </c>
      <c r="C6" s="21" t="n">
        <v>0.4405</v>
      </c>
      <c r="D6" s="21" t="n">
        <v>0.4476</v>
      </c>
      <c r="E6" s="21" t="n">
        <v>0.4458</v>
      </c>
      <c r="F6" s="21" t="n">
        <v>0.453</v>
      </c>
      <c r="G6" s="21" t="n">
        <v>0.4554</v>
      </c>
      <c r="H6" s="21" t="n">
        <v>0.4631</v>
      </c>
      <c r="I6" s="21" t="n">
        <v>0.4735</v>
      </c>
      <c r="J6" s="21" t="n">
        <v>0.4455</v>
      </c>
      <c r="K6" s="21" t="n">
        <v>0.4365</v>
      </c>
      <c r="L6" s="21" t="n">
        <v>0.4353</v>
      </c>
      <c r="M6" s="21" t="n">
        <v>0.4502</v>
      </c>
      <c r="N6" s="21" t="n">
        <v>0.4283</v>
      </c>
      <c r="O6" s="21" t="n">
        <v>0.4376</v>
      </c>
      <c r="P6" s="21" t="n">
        <v>0.4776</v>
      </c>
      <c r="Q6" s="21" t="n">
        <v>0.4779</v>
      </c>
      <c r="R6" s="21" t="n">
        <v>0.4982</v>
      </c>
      <c r="S6" s="21" t="n">
        <v>0.5407</v>
      </c>
      <c r="T6" s="21" t="n">
        <v>0.5338</v>
      </c>
      <c r="U6" s="21" t="n">
        <v>0.5785</v>
      </c>
      <c r="V6" s="21" t="n">
        <v>0.6004</v>
      </c>
      <c r="W6" s="21" t="n">
        <v>0.6195</v>
      </c>
      <c r="X6" s="21" t="n">
        <v>0.645</v>
      </c>
      <c r="Y6" s="21" t="n">
        <v>0.6571</v>
      </c>
    </row>
    <row r="7" customFormat="false" ht="15" hidden="false" customHeight="true" outlineLevel="0" collapsed="false">
      <c r="A7" s="14" t="s">
        <v>21</v>
      </c>
      <c r="B7" s="20" t="n">
        <v>0.7408</v>
      </c>
      <c r="C7" s="20" t="n">
        <v>0.7566</v>
      </c>
      <c r="D7" s="20" t="n">
        <v>0.7205</v>
      </c>
      <c r="E7" s="20" t="n">
        <v>0.7383</v>
      </c>
      <c r="F7" s="20" t="n">
        <v>0.7398</v>
      </c>
      <c r="G7" s="20" t="n">
        <v>0.7327</v>
      </c>
      <c r="H7" s="20" t="n">
        <v>0.7316</v>
      </c>
      <c r="I7" s="20" t="n">
        <v>0.7303</v>
      </c>
      <c r="J7" s="20" t="n">
        <v>0.7373</v>
      </c>
      <c r="K7" s="20" t="n">
        <v>0.7226</v>
      </c>
      <c r="L7" s="20" t="n">
        <v>0.7303</v>
      </c>
      <c r="M7" s="20" t="n">
        <v>0.7193</v>
      </c>
      <c r="N7" s="20" t="n">
        <v>0.7155</v>
      </c>
      <c r="O7" s="20" t="n">
        <v>0.7224</v>
      </c>
      <c r="P7" s="20" t="n">
        <v>0.7185</v>
      </c>
      <c r="Q7" s="20" t="n">
        <v>0.7184</v>
      </c>
      <c r="R7" s="20" t="n">
        <v>0.7036</v>
      </c>
      <c r="S7" s="20" t="n">
        <v>0.7191</v>
      </c>
      <c r="T7" s="20" t="n">
        <v>0.72</v>
      </c>
      <c r="U7" s="20" t="n">
        <v>0.7043</v>
      </c>
      <c r="V7" s="20" t="n">
        <v>0.7079</v>
      </c>
      <c r="W7" s="20" t="n">
        <v>0.7287</v>
      </c>
      <c r="X7" s="20" t="n">
        <v>0.7146</v>
      </c>
      <c r="Y7" s="20" t="n">
        <v>0.7124</v>
      </c>
    </row>
    <row r="8" customFormat="false" ht="15" hidden="false" customHeight="true" outlineLevel="0" collapsed="false">
      <c r="A8" s="16" t="s">
        <v>22</v>
      </c>
      <c r="B8" s="21" t="n">
        <v>0.9175</v>
      </c>
      <c r="C8" s="21" t="n">
        <v>0.9296</v>
      </c>
      <c r="D8" s="21" t="n">
        <v>0.9187</v>
      </c>
      <c r="E8" s="21" t="n">
        <v>0.9181</v>
      </c>
      <c r="F8" s="21" t="n">
        <v>0.9319</v>
      </c>
      <c r="G8" s="21" t="n">
        <v>0.9257</v>
      </c>
      <c r="H8" s="21" t="n">
        <v>0.9267</v>
      </c>
      <c r="I8" s="21" t="n">
        <v>0.9488</v>
      </c>
      <c r="J8" s="21" t="n">
        <v>0.9374</v>
      </c>
      <c r="K8" s="21" t="n">
        <v>0.9399</v>
      </c>
      <c r="L8" s="21" t="n">
        <v>0.9314</v>
      </c>
      <c r="M8" s="21" t="n">
        <v>0.9501</v>
      </c>
      <c r="N8" s="21" t="n">
        <v>0.9432</v>
      </c>
      <c r="O8" s="21" t="n">
        <v>0.9466</v>
      </c>
      <c r="P8" s="21" t="n">
        <v>0.9646</v>
      </c>
      <c r="Q8" s="21" t="n">
        <v>0.9548</v>
      </c>
      <c r="R8" s="21" t="n">
        <v>0.9614</v>
      </c>
      <c r="S8" s="21" t="n">
        <v>0.98</v>
      </c>
      <c r="T8" s="21" t="n">
        <v>0.964</v>
      </c>
      <c r="U8" s="21" t="n">
        <v>0.9673</v>
      </c>
      <c r="V8" s="21" t="n">
        <v>0.969</v>
      </c>
      <c r="W8" s="21" t="n">
        <v>0.976</v>
      </c>
      <c r="X8" s="21" t="n">
        <v>0.965</v>
      </c>
      <c r="Y8" s="21" t="n">
        <v>0.9676</v>
      </c>
    </row>
    <row r="9" customFormat="false" ht="15" hidden="false" customHeight="true" outlineLevel="0" collapsed="false">
      <c r="A9" s="14" t="s">
        <v>23</v>
      </c>
      <c r="B9" s="20" t="n">
        <v>0.044</v>
      </c>
      <c r="C9" s="20" t="n">
        <v>0.0393</v>
      </c>
      <c r="D9" s="20" t="n">
        <v>0.0458</v>
      </c>
      <c r="E9" s="20" t="n">
        <v>0.0537</v>
      </c>
      <c r="F9" s="20" t="n">
        <v>0.0459</v>
      </c>
      <c r="G9" s="20" t="n">
        <v>0.0578</v>
      </c>
      <c r="H9" s="20" t="n">
        <v>0.0547</v>
      </c>
      <c r="I9" s="20" t="n">
        <v>0.0579</v>
      </c>
      <c r="J9" s="20" t="n">
        <v>0.0757</v>
      </c>
      <c r="K9" s="20" t="n">
        <v>0.0555</v>
      </c>
      <c r="L9" s="20" t="n">
        <v>0.0858</v>
      </c>
      <c r="M9" s="20" t="n">
        <v>0.0775</v>
      </c>
      <c r="N9" s="20" t="n">
        <v>0.0861</v>
      </c>
      <c r="O9" s="20" t="n">
        <v>0.0758</v>
      </c>
      <c r="P9" s="20" t="n">
        <v>0.085</v>
      </c>
      <c r="Q9" s="20" t="n">
        <v>0.0871</v>
      </c>
      <c r="R9" s="20" t="n">
        <v>0.0789</v>
      </c>
      <c r="S9" s="20" t="n">
        <v>0.1009</v>
      </c>
      <c r="T9" s="20" t="n">
        <v>0.108</v>
      </c>
      <c r="U9" s="20" t="n">
        <v>0.0983</v>
      </c>
      <c r="V9" s="20" t="n">
        <v>0.1153</v>
      </c>
      <c r="W9" s="20" t="n">
        <v>0.1126</v>
      </c>
      <c r="X9" s="20" t="n">
        <v>0.107</v>
      </c>
      <c r="Y9" s="20" t="n">
        <v>0.1086</v>
      </c>
    </row>
    <row r="10" customFormat="false" ht="15" hidden="false" customHeight="true" outlineLevel="0" collapsed="false">
      <c r="A10" s="16" t="s">
        <v>24</v>
      </c>
      <c r="B10" s="21" t="n">
        <v>0.1194</v>
      </c>
      <c r="C10" s="21" t="n">
        <v>0.1388</v>
      </c>
      <c r="D10" s="21" t="n">
        <v>0.135</v>
      </c>
      <c r="E10" s="21" t="n">
        <v>0.1426</v>
      </c>
      <c r="F10" s="21" t="n">
        <v>0.1498</v>
      </c>
      <c r="G10" s="21" t="n">
        <v>0.1502</v>
      </c>
      <c r="H10" s="21" t="n">
        <v>0.1506</v>
      </c>
      <c r="I10" s="21" t="n">
        <v>0.1461</v>
      </c>
      <c r="J10" s="21" t="n">
        <v>0.1625</v>
      </c>
      <c r="K10" s="21" t="n">
        <v>0.1631</v>
      </c>
      <c r="L10" s="21" t="n">
        <v>0.1782</v>
      </c>
      <c r="M10" s="21" t="n">
        <v>0.1775</v>
      </c>
      <c r="N10" s="21" t="n">
        <v>0.181</v>
      </c>
      <c r="O10" s="21" t="n">
        <v>0.2022</v>
      </c>
      <c r="P10" s="21" t="n">
        <v>0.193</v>
      </c>
      <c r="Q10" s="21" t="n">
        <v>0.2041</v>
      </c>
      <c r="R10" s="21" t="n">
        <v>0.2142</v>
      </c>
      <c r="S10" s="21" t="n">
        <v>0.2149</v>
      </c>
      <c r="T10" s="21" t="n">
        <v>0.217</v>
      </c>
      <c r="U10" s="21" t="n">
        <v>0.2303</v>
      </c>
      <c r="V10" s="21" t="n">
        <v>0.228</v>
      </c>
      <c r="W10" s="21" t="n">
        <v>0.2274</v>
      </c>
      <c r="X10" s="21" t="n">
        <v>0.2361</v>
      </c>
      <c r="Y10" s="21" t="n">
        <v>0.2428</v>
      </c>
    </row>
    <row r="11" customFormat="false" ht="15" hidden="false" customHeight="true" outlineLevel="0" collapsed="false">
      <c r="A11" s="14" t="s">
        <v>25</v>
      </c>
      <c r="B11" s="20" t="n">
        <v>0.6875</v>
      </c>
      <c r="C11" s="20" t="n">
        <v>0.6843</v>
      </c>
      <c r="D11" s="20" t="n">
        <v>0.6944</v>
      </c>
      <c r="E11" s="20" t="n">
        <v>0.6887</v>
      </c>
      <c r="F11" s="20" t="n">
        <v>0.6977</v>
      </c>
      <c r="G11" s="20" t="n">
        <v>0.6877</v>
      </c>
      <c r="H11" s="20" t="n">
        <v>0.695</v>
      </c>
      <c r="I11" s="20" t="n">
        <v>0.7027</v>
      </c>
      <c r="J11" s="20" t="n">
        <v>0.7233</v>
      </c>
      <c r="K11" s="20" t="n">
        <v>0.7068</v>
      </c>
      <c r="L11" s="20" t="n">
        <v>0.7281</v>
      </c>
      <c r="M11" s="20" t="n">
        <v>0.744</v>
      </c>
      <c r="N11" s="20" t="n">
        <v>0.7466</v>
      </c>
      <c r="O11" s="20" t="n">
        <v>0.7355</v>
      </c>
      <c r="P11" s="20" t="n">
        <v>0.7552</v>
      </c>
      <c r="Q11" s="20" t="n">
        <v>0.7424</v>
      </c>
      <c r="R11" s="20" t="n">
        <v>0.7527</v>
      </c>
      <c r="S11" s="20" t="n">
        <v>0.7645</v>
      </c>
      <c r="T11" s="20" t="n">
        <v>0.7562</v>
      </c>
      <c r="U11" s="20" t="n">
        <v>0.7608</v>
      </c>
      <c r="V11" s="20" t="n">
        <v>0.7719</v>
      </c>
      <c r="W11" s="20" t="n">
        <v>0.7746</v>
      </c>
      <c r="X11" s="20" t="n">
        <v>0.7723</v>
      </c>
      <c r="Y11" s="20" t="n">
        <v>0.7989</v>
      </c>
    </row>
    <row r="12" customFormat="false" ht="15" hidden="false" customHeight="true" outlineLevel="0" collapsed="false">
      <c r="A12" s="16" t="s">
        <v>26</v>
      </c>
      <c r="B12" s="21" t="n">
        <v>0.4885</v>
      </c>
      <c r="C12" s="21" t="n">
        <v>0.4867</v>
      </c>
      <c r="D12" s="21" t="n">
        <v>0.4849</v>
      </c>
      <c r="E12" s="21" t="n">
        <v>0.5043</v>
      </c>
      <c r="F12" s="21" t="n">
        <v>0.5097</v>
      </c>
      <c r="G12" s="21" t="n">
        <v>0.5044</v>
      </c>
      <c r="H12" s="21" t="n">
        <v>0.5175</v>
      </c>
      <c r="I12" s="21" t="n">
        <v>0.5252</v>
      </c>
      <c r="J12" s="21" t="n">
        <v>0.5393</v>
      </c>
      <c r="K12" s="21" t="n">
        <v>0.5365</v>
      </c>
      <c r="L12" s="21" t="n">
        <v>0.5517</v>
      </c>
      <c r="M12" s="21" t="n">
        <v>0.5458</v>
      </c>
      <c r="N12" s="21" t="n">
        <v>0.5619</v>
      </c>
      <c r="O12" s="21" t="n">
        <v>0.5609</v>
      </c>
      <c r="P12" s="21" t="n">
        <v>0.5779</v>
      </c>
      <c r="Q12" s="21" t="n">
        <v>0.5865</v>
      </c>
      <c r="R12" s="21" t="n">
        <v>0.5916</v>
      </c>
      <c r="S12" s="21" t="n">
        <v>0.6058</v>
      </c>
      <c r="T12" s="21" t="n">
        <v>0.6078</v>
      </c>
      <c r="U12" s="21" t="n">
        <v>0.6079</v>
      </c>
      <c r="V12" s="21" t="n">
        <v>0.6171</v>
      </c>
      <c r="W12" s="21" t="n">
        <v>0.6168</v>
      </c>
      <c r="X12" s="21" t="n">
        <v>0.6201</v>
      </c>
      <c r="Y12" s="21" t="n">
        <v>0.6337</v>
      </c>
    </row>
    <row r="13" customFormat="false" ht="15" hidden="false" customHeight="true" outlineLevel="0" collapsed="false">
      <c r="A13" s="14" t="s">
        <v>27</v>
      </c>
      <c r="B13" s="20" t="n">
        <v>0.4376</v>
      </c>
      <c r="C13" s="20" t="n">
        <v>0.4528</v>
      </c>
      <c r="D13" s="20" t="n">
        <v>0.453</v>
      </c>
      <c r="E13" s="20" t="n">
        <v>0.4603</v>
      </c>
      <c r="F13" s="20" t="n">
        <v>0.4606</v>
      </c>
      <c r="G13" s="20" t="n">
        <v>0.4751</v>
      </c>
      <c r="H13" s="20" t="n">
        <v>0.4734</v>
      </c>
      <c r="I13" s="20" t="n">
        <v>0.4789</v>
      </c>
      <c r="J13" s="20" t="n">
        <v>0.4999</v>
      </c>
      <c r="K13" s="20" t="n">
        <v>0.5007</v>
      </c>
      <c r="L13" s="20" t="n">
        <v>0.5189</v>
      </c>
      <c r="M13" s="20" t="n">
        <v>0.5246</v>
      </c>
      <c r="N13" s="20" t="n">
        <v>0.5276</v>
      </c>
      <c r="O13" s="20" t="n">
        <v>0.5282</v>
      </c>
      <c r="P13" s="20" t="n">
        <v>0.5564</v>
      </c>
      <c r="Q13" s="20" t="n">
        <v>0.5561</v>
      </c>
      <c r="R13" s="20" t="n">
        <v>0.5537</v>
      </c>
      <c r="S13" s="20" t="n">
        <v>0.5726</v>
      </c>
      <c r="T13" s="20" t="n">
        <v>0.5785</v>
      </c>
      <c r="U13" s="20" t="n">
        <v>0.587</v>
      </c>
      <c r="V13" s="20" t="n">
        <v>0.5917</v>
      </c>
      <c r="W13" s="20" t="n">
        <v>0.5973</v>
      </c>
      <c r="X13" s="20" t="n">
        <v>0.611</v>
      </c>
      <c r="Y13" s="20" t="n">
        <v>0.6109</v>
      </c>
    </row>
    <row r="14" customFormat="false" ht="15" hidden="false" customHeight="true" outlineLevel="0" collapsed="false">
      <c r="A14" s="16" t="s">
        <v>28</v>
      </c>
      <c r="B14" s="21" t="n">
        <v>0.0487</v>
      </c>
      <c r="C14" s="21" t="n">
        <v>0.0566</v>
      </c>
      <c r="D14" s="21" t="n">
        <v>0.0821</v>
      </c>
      <c r="E14" s="21" t="n">
        <v>0.0684</v>
      </c>
      <c r="F14" s="21" t="n">
        <v>0.0769</v>
      </c>
      <c r="G14" s="21" t="n">
        <v>0.0774</v>
      </c>
      <c r="H14" s="21" t="n">
        <v>0.082</v>
      </c>
      <c r="I14" s="21" t="n">
        <v>0.0928</v>
      </c>
      <c r="J14" s="21" t="n">
        <v>0.0915</v>
      </c>
      <c r="K14" s="21" t="n">
        <v>0.0916</v>
      </c>
      <c r="L14" s="21" t="n">
        <v>0.1113</v>
      </c>
      <c r="M14" s="21" t="n">
        <v>0.1102</v>
      </c>
      <c r="N14" s="21" t="n">
        <v>0.1195</v>
      </c>
      <c r="O14" s="21" t="n">
        <v>0.1183</v>
      </c>
      <c r="P14" s="21" t="n">
        <v>0.1335</v>
      </c>
      <c r="Q14" s="21" t="n">
        <v>0.1402</v>
      </c>
      <c r="R14" s="21" t="n">
        <v>0.1492</v>
      </c>
      <c r="S14" s="21" t="n">
        <v>0.1516</v>
      </c>
      <c r="T14" s="21" t="n">
        <v>0.1393</v>
      </c>
      <c r="U14" s="21" t="n">
        <v>0.1616</v>
      </c>
      <c r="V14" s="21" t="n">
        <v>0.1686</v>
      </c>
      <c r="W14" s="21" t="n">
        <v>0.1602</v>
      </c>
      <c r="X14" s="21" t="n">
        <v>0.1584</v>
      </c>
      <c r="Y14" s="21" t="n">
        <v>0.1732</v>
      </c>
    </row>
    <row r="15" customFormat="false" ht="15" hidden="false" customHeight="true" outlineLevel="0" collapsed="false">
      <c r="A15" s="14" t="s">
        <v>29</v>
      </c>
      <c r="B15" s="20" t="n">
        <v>0.1747</v>
      </c>
      <c r="C15" s="20" t="n">
        <v>0.1675</v>
      </c>
      <c r="D15" s="20" t="n">
        <v>0.1694</v>
      </c>
      <c r="E15" s="20" t="n">
        <v>0.174</v>
      </c>
      <c r="F15" s="20" t="n">
        <v>0.1853</v>
      </c>
      <c r="G15" s="20" t="n">
        <v>0.1758</v>
      </c>
      <c r="H15" s="20" t="n">
        <v>0.1908</v>
      </c>
      <c r="I15" s="20" t="n">
        <v>0.187</v>
      </c>
      <c r="J15" s="20" t="n">
        <v>0.205</v>
      </c>
      <c r="K15" s="20" t="n">
        <v>0.2002</v>
      </c>
      <c r="L15" s="20" t="n">
        <v>0.2074</v>
      </c>
      <c r="M15" s="20" t="n">
        <v>0.2216</v>
      </c>
      <c r="N15" s="20" t="n">
        <v>0.2165</v>
      </c>
      <c r="O15" s="20" t="n">
        <v>0.2247</v>
      </c>
      <c r="P15" s="20" t="n">
        <v>0.2168</v>
      </c>
      <c r="Q15" s="20" t="n">
        <v>0.226</v>
      </c>
      <c r="R15" s="20" t="n">
        <v>0.2355</v>
      </c>
      <c r="S15" s="20" t="n">
        <v>0.2423</v>
      </c>
      <c r="T15" s="20" t="n">
        <v>0.2413</v>
      </c>
      <c r="U15" s="20" t="n">
        <v>0.2374</v>
      </c>
      <c r="V15" s="20" t="n">
        <v>0.2369</v>
      </c>
      <c r="W15" s="20" t="n">
        <v>0.252</v>
      </c>
      <c r="X15" s="20" t="n">
        <v>0.2448</v>
      </c>
      <c r="Y15" s="20" t="n">
        <v>0.2625</v>
      </c>
    </row>
    <row r="16" customFormat="false" ht="15" hidden="false" customHeight="true" outlineLevel="0" collapsed="false">
      <c r="A16" s="16" t="s">
        <v>30</v>
      </c>
      <c r="B16" s="21" t="n">
        <v>0.221</v>
      </c>
      <c r="C16" s="21" t="n">
        <v>0.2389</v>
      </c>
      <c r="D16" s="21" t="n">
        <v>0.2323</v>
      </c>
      <c r="E16" s="21" t="n">
        <v>0.2212</v>
      </c>
      <c r="F16" s="21" t="n">
        <v>0.2053</v>
      </c>
      <c r="G16" s="21" t="n">
        <v>0.2363</v>
      </c>
      <c r="H16" s="21" t="n">
        <v>0.2142</v>
      </c>
      <c r="I16" s="21" t="n">
        <v>0.2494</v>
      </c>
      <c r="J16" s="21" t="n">
        <v>0.2055</v>
      </c>
      <c r="K16" s="21" t="n">
        <v>0.2217</v>
      </c>
      <c r="L16" s="21" t="n">
        <v>0.2174</v>
      </c>
      <c r="M16" s="21" t="n">
        <v>0.2575</v>
      </c>
      <c r="N16" s="21" t="n">
        <v>0.2501</v>
      </c>
      <c r="O16" s="21" t="n">
        <v>0.2803</v>
      </c>
      <c r="P16" s="21" t="n">
        <v>0.3067</v>
      </c>
      <c r="Q16" s="21" t="n">
        <v>0.3496</v>
      </c>
      <c r="R16" s="21" t="n">
        <v>0.3796</v>
      </c>
      <c r="S16" s="21" t="n">
        <v>0.4145</v>
      </c>
      <c r="T16" s="21" t="n">
        <v>0.4581</v>
      </c>
      <c r="U16" s="21" t="n">
        <v>0.491</v>
      </c>
      <c r="V16" s="21" t="n">
        <v>0.5307</v>
      </c>
      <c r="W16" s="21" t="n">
        <v>0.5507</v>
      </c>
      <c r="X16" s="21" t="n">
        <v>0.5701</v>
      </c>
      <c r="Y16" s="21" t="n">
        <v>0.5915</v>
      </c>
    </row>
    <row r="17" customFormat="false" ht="15" hidden="false" customHeight="true" outlineLevel="0" collapsed="false">
      <c r="A17" s="14" t="s">
        <v>31</v>
      </c>
      <c r="B17" s="20" t="n">
        <v>0.7203</v>
      </c>
      <c r="C17" s="20" t="n">
        <v>0.7073</v>
      </c>
      <c r="D17" s="20" t="n">
        <v>0.7196</v>
      </c>
      <c r="E17" s="20" t="n">
        <v>0.7084</v>
      </c>
      <c r="F17" s="20" t="n">
        <v>0.7039</v>
      </c>
      <c r="G17" s="20" t="n">
        <v>0.7256</v>
      </c>
      <c r="H17" s="20" t="n">
        <v>0.7125</v>
      </c>
      <c r="I17" s="20" t="n">
        <v>0.7323</v>
      </c>
      <c r="J17" s="20" t="n">
        <v>0.7183</v>
      </c>
      <c r="K17" s="20" t="n">
        <v>0.7363</v>
      </c>
      <c r="L17" s="20" t="n">
        <v>0.7278</v>
      </c>
      <c r="M17" s="20" t="n">
        <v>0.7361</v>
      </c>
      <c r="N17" s="20" t="n">
        <v>0.7338</v>
      </c>
      <c r="O17" s="20" t="n">
        <v>0.7324</v>
      </c>
      <c r="P17" s="20" t="n">
        <v>0.7298</v>
      </c>
      <c r="Q17" s="20" t="n">
        <v>0.7426</v>
      </c>
      <c r="R17" s="20" t="n">
        <v>0.7525</v>
      </c>
      <c r="S17" s="20" t="n">
        <v>0.7489</v>
      </c>
      <c r="T17" s="20" t="n">
        <v>0.7563</v>
      </c>
      <c r="U17" s="20" t="n">
        <v>0.7472</v>
      </c>
      <c r="V17" s="20" t="n">
        <v>0.7596</v>
      </c>
      <c r="W17" s="20" t="n">
        <v>0.756</v>
      </c>
      <c r="X17" s="20" t="n">
        <v>0.7507</v>
      </c>
      <c r="Y17" s="20" t="n">
        <v>0.7447</v>
      </c>
    </row>
    <row r="18" customFormat="false" ht="15" hidden="false" customHeight="true" outlineLevel="0" collapsed="false">
      <c r="A18" s="16" t="s">
        <v>32</v>
      </c>
      <c r="B18" s="21" t="n">
        <v>0.7883</v>
      </c>
      <c r="C18" s="21" t="n">
        <v>0.781</v>
      </c>
      <c r="D18" s="21" t="n">
        <v>0.7657</v>
      </c>
      <c r="E18" s="21" t="n">
        <v>0.7608</v>
      </c>
      <c r="F18" s="21" t="n">
        <v>0.7637</v>
      </c>
      <c r="G18" s="21" t="n">
        <v>0.7464</v>
      </c>
      <c r="H18" s="21" t="n">
        <v>0.739</v>
      </c>
      <c r="I18" s="21" t="n">
        <v>0.7256</v>
      </c>
      <c r="J18" s="21" t="n">
        <v>0.7382</v>
      </c>
      <c r="K18" s="21" t="n">
        <v>0.729</v>
      </c>
      <c r="L18" s="21" t="n">
        <v>0.7109</v>
      </c>
      <c r="M18" s="21" t="n">
        <v>0.7059</v>
      </c>
      <c r="N18" s="21" t="n">
        <v>0.6954</v>
      </c>
      <c r="O18" s="21" t="n">
        <v>0.6867</v>
      </c>
      <c r="P18" s="21" t="n">
        <v>0.6869</v>
      </c>
      <c r="Q18" s="21" t="n">
        <v>0.6629</v>
      </c>
      <c r="R18" s="21" t="n">
        <v>0.6654</v>
      </c>
      <c r="S18" s="21" t="n">
        <v>0.6609</v>
      </c>
      <c r="T18" s="21" t="n">
        <v>0.6466</v>
      </c>
      <c r="U18" s="21" t="n">
        <v>0.6388</v>
      </c>
      <c r="V18" s="21" t="n">
        <v>0.621</v>
      </c>
      <c r="W18" s="21" t="n">
        <v>0.6371</v>
      </c>
      <c r="X18" s="21" t="n">
        <v>0.621</v>
      </c>
      <c r="Y18" s="21" t="n">
        <v>0.6204</v>
      </c>
    </row>
    <row r="19" customFormat="false" ht="15" hidden="false" customHeight="true" outlineLevel="0" collapsed="false">
      <c r="A19" s="14" t="s">
        <v>33</v>
      </c>
      <c r="B19" s="20" t="n">
        <v>0.998</v>
      </c>
      <c r="C19" s="20" t="n">
        <v>1</v>
      </c>
      <c r="D19" s="20" t="n">
        <v>1</v>
      </c>
      <c r="E19" s="20" t="n">
        <v>0.9946</v>
      </c>
      <c r="F19" s="20" t="n">
        <v>0.9961</v>
      </c>
      <c r="G19" s="20" t="n">
        <v>0.9863</v>
      </c>
      <c r="H19" s="20" t="n">
        <v>1</v>
      </c>
      <c r="I19" s="20" t="n">
        <v>0.9879</v>
      </c>
      <c r="J19" s="20" t="n">
        <v>0.9992</v>
      </c>
      <c r="K19" s="20" t="n">
        <v>0.979</v>
      </c>
      <c r="L19" s="20" t="n">
        <v>0.992</v>
      </c>
      <c r="M19" s="20" t="n">
        <v>0.9711</v>
      </c>
      <c r="N19" s="20" t="n">
        <v>0.9825</v>
      </c>
      <c r="O19" s="20" t="n">
        <v>0.9785</v>
      </c>
      <c r="P19" s="20" t="n">
        <v>0.9702</v>
      </c>
      <c r="Q19" s="20" t="n">
        <v>0.9895</v>
      </c>
      <c r="R19" s="20" t="n">
        <v>0.986</v>
      </c>
      <c r="S19" s="20" t="n">
        <v>0.9873</v>
      </c>
      <c r="T19" s="20" t="n">
        <v>0.9702</v>
      </c>
      <c r="U19" s="20" t="n">
        <v>0.9812</v>
      </c>
      <c r="V19" s="20" t="n">
        <v>0.9763</v>
      </c>
      <c r="W19" s="20" t="n">
        <v>0.9668</v>
      </c>
      <c r="X19" s="20" t="n">
        <v>0.9821</v>
      </c>
      <c r="Y19" s="20" t="n">
        <v>0.9648</v>
      </c>
    </row>
    <row r="20" customFormat="false" ht="15" hidden="false" customHeight="true" outlineLevel="0" collapsed="false">
      <c r="A20" s="16" t="s">
        <v>34</v>
      </c>
      <c r="B20" s="21" t="n">
        <v>0.511</v>
      </c>
      <c r="C20" s="21" t="n">
        <v>0.5195</v>
      </c>
      <c r="D20" s="21" t="n">
        <v>0.5205</v>
      </c>
      <c r="E20" s="21" t="n">
        <v>0.5439</v>
      </c>
      <c r="F20" s="21" t="n">
        <v>0.5401</v>
      </c>
      <c r="G20" s="21" t="n">
        <v>0.5531</v>
      </c>
      <c r="H20" s="21" t="n">
        <v>0.5674</v>
      </c>
      <c r="I20" s="21" t="n">
        <v>0.5636</v>
      </c>
      <c r="J20" s="21" t="n">
        <v>0.5682</v>
      </c>
      <c r="K20" s="21" t="n">
        <v>0.591</v>
      </c>
      <c r="L20" s="21" t="n">
        <v>0.6014</v>
      </c>
      <c r="M20" s="21" t="n">
        <v>0.6027</v>
      </c>
      <c r="N20" s="21" t="n">
        <v>0.6189</v>
      </c>
      <c r="O20" s="21" t="n">
        <v>0.6269</v>
      </c>
      <c r="P20" s="21" t="n">
        <v>0.64</v>
      </c>
      <c r="Q20" s="21" t="n">
        <v>0.643</v>
      </c>
      <c r="R20" s="21" t="n">
        <v>0.6465</v>
      </c>
      <c r="S20" s="21" t="n">
        <v>0.6606</v>
      </c>
      <c r="T20" s="21" t="n">
        <v>0.659</v>
      </c>
      <c r="U20" s="21" t="n">
        <v>0.6702</v>
      </c>
      <c r="V20" s="21" t="n">
        <v>0.681</v>
      </c>
      <c r="W20" s="21" t="n">
        <v>0.6837</v>
      </c>
      <c r="X20" s="21" t="n">
        <v>0.6947</v>
      </c>
      <c r="Y20" s="21" t="n">
        <v>0.6989</v>
      </c>
    </row>
    <row r="21" customFormat="false" ht="15" hidden="false" customHeight="true" outlineLevel="0" collapsed="false">
      <c r="A21" s="14" t="s">
        <v>35</v>
      </c>
      <c r="B21" s="20" t="n">
        <v>0.001</v>
      </c>
      <c r="C21" s="20" t="n">
        <v>0.0023</v>
      </c>
      <c r="D21" s="20" t="n">
        <v>0.0112</v>
      </c>
      <c r="E21" s="20" t="n">
        <v>0.0076</v>
      </c>
      <c r="F21" s="20" t="n">
        <v>0.0028</v>
      </c>
      <c r="G21" s="20" t="n">
        <v>0.012</v>
      </c>
      <c r="H21" s="20" t="n">
        <v>0.0105</v>
      </c>
      <c r="I21" s="20" t="n">
        <v>0.001</v>
      </c>
      <c r="J21" s="20" t="n">
        <v>0.001</v>
      </c>
      <c r="K21" s="20" t="n">
        <v>0.0159</v>
      </c>
      <c r="L21" s="20" t="n">
        <v>0.0063</v>
      </c>
      <c r="M21" s="20" t="n">
        <v>0.0107</v>
      </c>
      <c r="N21" s="20" t="n">
        <v>0.0108</v>
      </c>
      <c r="O21" s="20" t="n">
        <v>0.0095</v>
      </c>
      <c r="P21" s="20" t="n">
        <v>0.001</v>
      </c>
      <c r="Q21" s="20" t="n">
        <v>0.0059</v>
      </c>
      <c r="R21" s="20" t="n">
        <v>0.0017</v>
      </c>
      <c r="S21" s="20" t="n">
        <v>0.001</v>
      </c>
      <c r="T21" s="20" t="n">
        <v>0.0198</v>
      </c>
      <c r="U21" s="20" t="n">
        <v>0.0048</v>
      </c>
      <c r="V21" s="20" t="n">
        <v>0.0181</v>
      </c>
      <c r="W21" s="20" t="n">
        <v>0.0032</v>
      </c>
      <c r="X21" s="20" t="n">
        <v>0.0217</v>
      </c>
      <c r="Y21" s="20" t="n">
        <v>0.0059</v>
      </c>
    </row>
    <row r="22" customFormat="false" ht="15" hidden="false" customHeight="true" outlineLevel="0" collapsed="false">
      <c r="A22" s="16" t="s">
        <v>36</v>
      </c>
      <c r="B22" s="21" t="n">
        <v>0.677</v>
      </c>
      <c r="C22" s="21" t="n">
        <v>0.6592</v>
      </c>
      <c r="D22" s="21" t="n">
        <v>0.6545</v>
      </c>
      <c r="E22" s="21" t="n">
        <v>0.6637</v>
      </c>
      <c r="F22" s="21" t="n">
        <v>0.6476</v>
      </c>
      <c r="G22" s="21" t="n">
        <v>0.6541</v>
      </c>
      <c r="H22" s="21" t="n">
        <v>0.6411</v>
      </c>
      <c r="I22" s="21" t="n">
        <v>0.6114</v>
      </c>
      <c r="J22" s="21" t="n">
        <v>0.6302</v>
      </c>
      <c r="K22" s="21" t="n">
        <v>0.6239</v>
      </c>
      <c r="L22" s="21" t="n">
        <v>0.661</v>
      </c>
      <c r="M22" s="21" t="n">
        <v>0.6413</v>
      </c>
      <c r="N22" s="21" t="n">
        <v>0.663</v>
      </c>
      <c r="O22" s="21" t="n">
        <v>0.6774</v>
      </c>
      <c r="P22" s="21" t="n">
        <v>0.698</v>
      </c>
      <c r="Q22" s="21" t="n">
        <v>0.7485</v>
      </c>
      <c r="R22" s="21" t="n">
        <v>0.7719</v>
      </c>
      <c r="S22" s="21" t="n">
        <v>0.8212</v>
      </c>
      <c r="T22" s="21" t="n">
        <v>0.8443</v>
      </c>
      <c r="U22" s="21" t="n">
        <v>0.8679</v>
      </c>
      <c r="V22" s="21" t="n">
        <v>0.8797</v>
      </c>
      <c r="W22" s="21" t="n">
        <v>0.9047</v>
      </c>
      <c r="X22" s="21" t="n">
        <v>0.9295</v>
      </c>
      <c r="Y22" s="21" t="n">
        <v>0.9257</v>
      </c>
    </row>
    <row r="23" customFormat="false" ht="15" hidden="false" customHeight="true" outlineLevel="0" collapsed="false">
      <c r="A23" s="14" t="s">
        <v>37</v>
      </c>
      <c r="B23" s="20" t="n">
        <v>0.693</v>
      </c>
      <c r="C23" s="20" t="n">
        <v>0.6915</v>
      </c>
      <c r="D23" s="20" t="n">
        <v>0.683</v>
      </c>
      <c r="E23" s="20" t="n">
        <v>0.694</v>
      </c>
      <c r="F23" s="20" t="n">
        <v>0.6919</v>
      </c>
      <c r="G23" s="20" t="n">
        <v>0.6718</v>
      </c>
      <c r="H23" s="20" t="n">
        <v>0.6654</v>
      </c>
      <c r="I23" s="20" t="n">
        <v>0.655</v>
      </c>
      <c r="J23" s="20" t="n">
        <v>0.6513</v>
      </c>
      <c r="K23" s="20" t="n">
        <v>0.6457</v>
      </c>
      <c r="L23" s="20" t="n">
        <v>0.6412</v>
      </c>
      <c r="M23" s="20" t="n">
        <v>0.6315</v>
      </c>
      <c r="N23" s="20" t="n">
        <v>0.6288</v>
      </c>
      <c r="O23" s="20" t="n">
        <v>0.6069</v>
      </c>
      <c r="P23" s="20" t="n">
        <v>0.5981</v>
      </c>
      <c r="Q23" s="20" t="n">
        <v>0.5886</v>
      </c>
      <c r="R23" s="20" t="n">
        <v>0.5936</v>
      </c>
      <c r="S23" s="20" t="n">
        <v>0.5702</v>
      </c>
      <c r="T23" s="20" t="n">
        <v>0.5853</v>
      </c>
      <c r="U23" s="20" t="n">
        <v>0.5766</v>
      </c>
      <c r="V23" s="20" t="n">
        <v>0.573</v>
      </c>
      <c r="W23" s="20" t="n">
        <v>0.5545</v>
      </c>
      <c r="X23" s="20" t="n">
        <v>0.5493</v>
      </c>
      <c r="Y23" s="20" t="n">
        <v>0.5431</v>
      </c>
    </row>
  </sheetData>
  <autoFilter ref="A2:Y23"/>
  <mergeCells count="1">
    <mergeCell ref="A1:Y1"/>
  </mergeCells>
  <conditionalFormatting sqref="B3:Y23">
    <cfRule type="colorScale" priority="2">
      <colorScale>
        <cfvo type="min" val="0"/>
        <cfvo type="max" val="0"/>
        <color rgb="FFFFFFFF"/>
        <color rgb="FFBBD7EC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36BAA"/>
    <pageSetUpPr fitToPage="true"/>
  </sheetPr>
  <dimension ref="A1:Y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25" min="2" style="1" width="10"/>
  </cols>
  <sheetData>
    <row r="1" customFormat="false" ht="21.75" hidden="false" customHeight="true" outlineLevel="0" collapsed="false">
      <c r="A1" s="10" t="s">
        <v>40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</row>
    <row r="2" customFormat="false" ht="25.5" hidden="false" customHeight="true" outlineLevel="0" collapsed="false">
      <c r="A2" s="12" t="s">
        <v>16</v>
      </c>
      <c r="B2" s="13" t="n">
        <v>2000</v>
      </c>
      <c r="C2" s="13" t="n">
        <v>2001</v>
      </c>
      <c r="D2" s="13" t="n">
        <v>2002</v>
      </c>
      <c r="E2" s="13" t="n">
        <v>2003</v>
      </c>
      <c r="F2" s="13" t="n">
        <v>2004</v>
      </c>
      <c r="G2" s="13" t="n">
        <v>2005</v>
      </c>
      <c r="H2" s="13" t="n">
        <v>2006</v>
      </c>
      <c r="I2" s="13" t="n">
        <v>2007</v>
      </c>
      <c r="J2" s="13" t="n">
        <v>2008</v>
      </c>
      <c r="K2" s="13" t="n">
        <v>2009</v>
      </c>
      <c r="L2" s="13" t="n">
        <v>2010</v>
      </c>
      <c r="M2" s="13" t="n">
        <v>2011</v>
      </c>
      <c r="N2" s="13" t="n">
        <v>2012</v>
      </c>
      <c r="O2" s="13" t="n">
        <v>2013</v>
      </c>
      <c r="P2" s="13" t="n">
        <v>2014</v>
      </c>
      <c r="Q2" s="13" t="n">
        <v>2015</v>
      </c>
      <c r="R2" s="13" t="n">
        <v>2016</v>
      </c>
      <c r="S2" s="13" t="n">
        <v>2017</v>
      </c>
      <c r="T2" s="13" t="n">
        <v>2018</v>
      </c>
      <c r="U2" s="13" t="n">
        <v>2019</v>
      </c>
      <c r="V2" s="13" t="n">
        <v>2020</v>
      </c>
      <c r="W2" s="13" t="n">
        <v>2021</v>
      </c>
      <c r="X2" s="13" t="n">
        <v>2022</v>
      </c>
      <c r="Y2" s="13" t="n">
        <v>2023</v>
      </c>
    </row>
    <row r="3" customFormat="false" ht="15" hidden="false" customHeight="true" outlineLevel="0" collapsed="false">
      <c r="A3" s="14" t="s">
        <v>17</v>
      </c>
      <c r="B3" s="15" t="n">
        <v>3521</v>
      </c>
      <c r="C3" s="15" t="n">
        <v>3393</v>
      </c>
      <c r="D3" s="15" t="n">
        <v>3096</v>
      </c>
      <c r="E3" s="15" t="n">
        <v>3280</v>
      </c>
      <c r="F3" s="15" t="n">
        <v>3388</v>
      </c>
      <c r="G3" s="15" t="n">
        <v>3356</v>
      </c>
      <c r="H3" s="15" t="n">
        <v>3464</v>
      </c>
      <c r="I3" s="15" t="n">
        <v>3388</v>
      </c>
      <c r="J3" s="15" t="n">
        <v>3485</v>
      </c>
      <c r="K3" s="15" t="n">
        <v>3366</v>
      </c>
      <c r="L3" s="15" t="n">
        <v>3636</v>
      </c>
      <c r="M3" s="15" t="n">
        <v>3547</v>
      </c>
      <c r="N3" s="15" t="n">
        <v>3702</v>
      </c>
      <c r="O3" s="15" t="n">
        <v>3706</v>
      </c>
      <c r="P3" s="15" t="n">
        <v>3732</v>
      </c>
      <c r="Q3" s="15" t="n">
        <v>3973</v>
      </c>
      <c r="R3" s="15" t="n">
        <v>4045</v>
      </c>
      <c r="S3" s="15" t="n">
        <v>4034</v>
      </c>
      <c r="T3" s="15" t="n">
        <v>4135</v>
      </c>
      <c r="U3" s="15" t="n">
        <v>3933</v>
      </c>
      <c r="V3" s="15" t="n">
        <v>3855</v>
      </c>
      <c r="W3" s="15" t="n">
        <v>4101</v>
      </c>
      <c r="X3" s="15" t="n">
        <v>4445</v>
      </c>
      <c r="Y3" s="15" t="n">
        <v>4233</v>
      </c>
    </row>
    <row r="4" customFormat="false" ht="15" hidden="false" customHeight="true" outlineLevel="0" collapsed="false">
      <c r="A4" s="16" t="s">
        <v>18</v>
      </c>
      <c r="B4" s="17" t="n">
        <v>998</v>
      </c>
      <c r="C4" s="17" t="n">
        <v>1021</v>
      </c>
      <c r="D4" s="17" t="n">
        <v>1067</v>
      </c>
      <c r="E4" s="17" t="n">
        <v>1068</v>
      </c>
      <c r="F4" s="17" t="n">
        <v>1072</v>
      </c>
      <c r="G4" s="17" t="n">
        <v>1183</v>
      </c>
      <c r="H4" s="17" t="n">
        <v>1198</v>
      </c>
      <c r="I4" s="17" t="n">
        <v>1255</v>
      </c>
      <c r="J4" s="17" t="n">
        <v>1203</v>
      </c>
      <c r="K4" s="17" t="n">
        <v>1241</v>
      </c>
      <c r="L4" s="17" t="n">
        <v>1286</v>
      </c>
      <c r="M4" s="17" t="n">
        <v>1271</v>
      </c>
      <c r="N4" s="17" t="n">
        <v>1382</v>
      </c>
      <c r="O4" s="17" t="n">
        <v>1428</v>
      </c>
      <c r="P4" s="17" t="n">
        <v>1489</v>
      </c>
      <c r="Q4" s="17" t="n">
        <v>1485</v>
      </c>
      <c r="R4" s="17" t="n">
        <v>1485</v>
      </c>
      <c r="S4" s="17" t="n">
        <v>1561</v>
      </c>
      <c r="T4" s="17" t="n">
        <v>1594</v>
      </c>
      <c r="U4" s="17" t="n">
        <v>1524</v>
      </c>
      <c r="V4" s="17" t="n">
        <v>1511</v>
      </c>
      <c r="W4" s="17" t="n">
        <v>1673</v>
      </c>
      <c r="X4" s="17" t="n">
        <v>1754</v>
      </c>
      <c r="Y4" s="17" t="n">
        <v>1772</v>
      </c>
    </row>
    <row r="5" customFormat="false" ht="15" hidden="false" customHeight="true" outlineLevel="0" collapsed="false">
      <c r="A5" s="14" t="s">
        <v>19</v>
      </c>
      <c r="B5" s="15" t="n">
        <v>2160</v>
      </c>
      <c r="C5" s="15" t="n">
        <v>2182</v>
      </c>
      <c r="D5" s="15" t="n">
        <v>2342</v>
      </c>
      <c r="E5" s="15" t="n">
        <v>2166</v>
      </c>
      <c r="F5" s="15" t="n">
        <v>2278</v>
      </c>
      <c r="G5" s="15" t="n">
        <v>2246</v>
      </c>
      <c r="H5" s="15" t="n">
        <v>2328</v>
      </c>
      <c r="I5" s="15" t="n">
        <v>2356</v>
      </c>
      <c r="J5" s="15" t="n">
        <v>2416</v>
      </c>
      <c r="K5" s="15" t="n">
        <v>2393</v>
      </c>
      <c r="L5" s="15" t="n">
        <v>2369</v>
      </c>
      <c r="M5" s="15" t="n">
        <v>2413</v>
      </c>
      <c r="N5" s="15" t="n">
        <v>2475</v>
      </c>
      <c r="O5" s="15" t="n">
        <v>2485</v>
      </c>
      <c r="P5" s="15" t="n">
        <v>2426</v>
      </c>
      <c r="Q5" s="15" t="n">
        <v>2485</v>
      </c>
      <c r="R5" s="15" t="n">
        <v>2403</v>
      </c>
      <c r="S5" s="15" t="n">
        <v>2379</v>
      </c>
      <c r="T5" s="15" t="n">
        <v>2474</v>
      </c>
      <c r="U5" s="15" t="n">
        <v>2556</v>
      </c>
      <c r="V5" s="15" t="n">
        <v>2463</v>
      </c>
      <c r="W5" s="15" t="n">
        <v>2550</v>
      </c>
      <c r="X5" s="15" t="n">
        <v>2761</v>
      </c>
      <c r="Y5" s="15" t="n">
        <v>2697</v>
      </c>
    </row>
    <row r="6" customFormat="false" ht="15" hidden="false" customHeight="true" outlineLevel="0" collapsed="false">
      <c r="A6" s="16" t="s">
        <v>20</v>
      </c>
      <c r="B6" s="17" t="n">
        <v>2652</v>
      </c>
      <c r="C6" s="17" t="n">
        <v>2633</v>
      </c>
      <c r="D6" s="17" t="n">
        <v>2669</v>
      </c>
      <c r="E6" s="17" t="n">
        <v>2830</v>
      </c>
      <c r="F6" s="17" t="n">
        <v>2904</v>
      </c>
      <c r="G6" s="17" t="n">
        <v>3041</v>
      </c>
      <c r="H6" s="17" t="n">
        <v>3111</v>
      </c>
      <c r="I6" s="17" t="n">
        <v>3233</v>
      </c>
      <c r="J6" s="17" t="n">
        <v>3303</v>
      </c>
      <c r="K6" s="17" t="n">
        <v>3366</v>
      </c>
      <c r="L6" s="17" t="n">
        <v>3446</v>
      </c>
      <c r="M6" s="17" t="n">
        <v>3573</v>
      </c>
      <c r="N6" s="17" t="n">
        <v>3797</v>
      </c>
      <c r="O6" s="17" t="n">
        <v>3984</v>
      </c>
      <c r="P6" s="17" t="n">
        <v>3883</v>
      </c>
      <c r="Q6" s="17" t="n">
        <v>4004</v>
      </c>
      <c r="R6" s="17" t="n">
        <v>3936</v>
      </c>
      <c r="S6" s="17" t="n">
        <v>3891</v>
      </c>
      <c r="T6" s="17" t="n">
        <v>4111</v>
      </c>
      <c r="U6" s="17" t="n">
        <v>4076</v>
      </c>
      <c r="V6" s="17" t="n">
        <v>3980</v>
      </c>
      <c r="W6" s="17" t="n">
        <v>4230</v>
      </c>
      <c r="X6" s="17" t="n">
        <v>4223</v>
      </c>
      <c r="Y6" s="17" t="n">
        <v>4321</v>
      </c>
    </row>
    <row r="7" customFormat="false" ht="15" hidden="false" customHeight="true" outlineLevel="0" collapsed="false">
      <c r="A7" s="14" t="s">
        <v>21</v>
      </c>
      <c r="B7" s="15" t="n">
        <v>1632</v>
      </c>
      <c r="C7" s="15" t="n">
        <v>1762</v>
      </c>
      <c r="D7" s="15" t="n">
        <v>1746</v>
      </c>
      <c r="E7" s="15" t="n">
        <v>1830</v>
      </c>
      <c r="F7" s="15" t="n">
        <v>1912</v>
      </c>
      <c r="G7" s="15" t="n">
        <v>1989</v>
      </c>
      <c r="H7" s="15" t="n">
        <v>1920</v>
      </c>
      <c r="I7" s="15" t="n">
        <v>2012</v>
      </c>
      <c r="J7" s="15" t="n">
        <v>2024</v>
      </c>
      <c r="K7" s="15" t="n">
        <v>2065</v>
      </c>
      <c r="L7" s="15" t="n">
        <v>2112</v>
      </c>
      <c r="M7" s="15" t="n">
        <v>2214</v>
      </c>
      <c r="N7" s="15" t="n">
        <v>2247</v>
      </c>
      <c r="O7" s="15" t="n">
        <v>2237</v>
      </c>
      <c r="P7" s="15" t="n">
        <v>2392</v>
      </c>
      <c r="Q7" s="15" t="n">
        <v>2378</v>
      </c>
      <c r="R7" s="15" t="n">
        <v>2278</v>
      </c>
      <c r="S7" s="15" t="n">
        <v>2346</v>
      </c>
      <c r="T7" s="15" t="n">
        <v>2390</v>
      </c>
      <c r="U7" s="15" t="n">
        <v>2525</v>
      </c>
      <c r="V7" s="15" t="n">
        <v>2627</v>
      </c>
      <c r="W7" s="15" t="n">
        <v>2625</v>
      </c>
      <c r="X7" s="15" t="n">
        <v>2742</v>
      </c>
      <c r="Y7" s="15" t="n">
        <v>2907</v>
      </c>
    </row>
    <row r="8" customFormat="false" ht="15" hidden="false" customHeight="true" outlineLevel="0" collapsed="false">
      <c r="A8" s="16" t="s">
        <v>22</v>
      </c>
      <c r="B8" s="17" t="n">
        <v>2296</v>
      </c>
      <c r="C8" s="17" t="n">
        <v>2414</v>
      </c>
      <c r="D8" s="17" t="n">
        <v>2475</v>
      </c>
      <c r="E8" s="17" t="n">
        <v>2454</v>
      </c>
      <c r="F8" s="17" t="n">
        <v>2596</v>
      </c>
      <c r="G8" s="17" t="n">
        <v>2607</v>
      </c>
      <c r="H8" s="17" t="n">
        <v>2784</v>
      </c>
      <c r="I8" s="17" t="n">
        <v>2901</v>
      </c>
      <c r="J8" s="17" t="n">
        <v>2841</v>
      </c>
      <c r="K8" s="17" t="n">
        <v>2870</v>
      </c>
      <c r="L8" s="17" t="n">
        <v>3154</v>
      </c>
      <c r="M8" s="22" t="s">
        <v>41</v>
      </c>
      <c r="N8" s="17" t="n">
        <v>3188</v>
      </c>
      <c r="O8" s="17" t="n">
        <v>3174</v>
      </c>
      <c r="P8" s="17" t="n">
        <v>3414</v>
      </c>
      <c r="Q8" s="17" t="n">
        <v>3362</v>
      </c>
      <c r="R8" s="17" t="n">
        <v>3655</v>
      </c>
      <c r="S8" s="17" t="n">
        <v>3597</v>
      </c>
      <c r="T8" s="17" t="n">
        <v>3562</v>
      </c>
      <c r="U8" s="17" t="n">
        <v>3746</v>
      </c>
      <c r="V8" s="17" t="n">
        <v>3612</v>
      </c>
      <c r="W8" s="17" t="n">
        <v>3970</v>
      </c>
      <c r="X8" s="17" t="n">
        <v>4105</v>
      </c>
      <c r="Y8" s="17" t="n">
        <v>4128</v>
      </c>
    </row>
    <row r="9" customFormat="false" ht="15" hidden="false" customHeight="true" outlineLevel="0" collapsed="false">
      <c r="A9" s="14" t="s">
        <v>23</v>
      </c>
      <c r="B9" s="15" t="n">
        <v>1873</v>
      </c>
      <c r="C9" s="15" t="n">
        <v>1850</v>
      </c>
      <c r="D9" s="15" t="n">
        <v>1875</v>
      </c>
      <c r="E9" s="15" t="n">
        <v>1850</v>
      </c>
      <c r="F9" s="15" t="n">
        <v>1903</v>
      </c>
      <c r="G9" s="15" t="n">
        <v>1898</v>
      </c>
      <c r="H9" s="15" t="n">
        <v>1995</v>
      </c>
      <c r="I9" s="15" t="n">
        <v>2021</v>
      </c>
      <c r="J9" s="15" t="n">
        <v>2031</v>
      </c>
      <c r="K9" s="15" t="n">
        <v>1944</v>
      </c>
      <c r="L9" s="15" t="n">
        <v>2089</v>
      </c>
      <c r="M9" s="15" t="n">
        <v>2109</v>
      </c>
      <c r="N9" s="15" t="n">
        <v>2088</v>
      </c>
      <c r="O9" s="15" t="n">
        <v>2143</v>
      </c>
      <c r="P9" s="15" t="n">
        <v>2164</v>
      </c>
      <c r="Q9" s="15" t="n">
        <v>2215</v>
      </c>
      <c r="R9" s="15" t="n">
        <v>2264</v>
      </c>
      <c r="S9" s="15" t="n">
        <v>2283</v>
      </c>
      <c r="T9" s="15" t="n">
        <v>2351</v>
      </c>
      <c r="U9" s="15" t="n">
        <v>2260</v>
      </c>
      <c r="V9" s="15" t="n">
        <v>2122</v>
      </c>
      <c r="W9" s="15" t="n">
        <v>2163</v>
      </c>
      <c r="X9" s="15" t="n">
        <v>2246</v>
      </c>
      <c r="Y9" s="15" t="n">
        <v>2293</v>
      </c>
    </row>
    <row r="10" customFormat="false" ht="15" hidden="false" customHeight="true" outlineLevel="0" collapsed="false">
      <c r="A10" s="16" t="s">
        <v>24</v>
      </c>
      <c r="B10" s="17" t="n">
        <v>1870</v>
      </c>
      <c r="C10" s="17" t="n">
        <v>1931</v>
      </c>
      <c r="D10" s="17" t="n">
        <v>1955</v>
      </c>
      <c r="E10" s="17" t="n">
        <v>2096</v>
      </c>
      <c r="F10" s="17" t="n">
        <v>2124</v>
      </c>
      <c r="G10" s="17" t="n">
        <v>2256</v>
      </c>
      <c r="H10" s="17" t="n">
        <v>2369</v>
      </c>
      <c r="I10" s="17" t="n">
        <v>2434</v>
      </c>
      <c r="J10" s="17" t="n">
        <v>2490</v>
      </c>
      <c r="K10" s="17" t="n">
        <v>2573</v>
      </c>
      <c r="L10" s="17" t="n">
        <v>2646</v>
      </c>
      <c r="M10" s="17" t="n">
        <v>2806</v>
      </c>
      <c r="N10" s="17" t="n">
        <v>2867</v>
      </c>
      <c r="O10" s="17" t="n">
        <v>2913</v>
      </c>
      <c r="P10" s="17" t="n">
        <v>3135</v>
      </c>
      <c r="Q10" s="17" t="n">
        <v>3168</v>
      </c>
      <c r="R10" s="17" t="n">
        <v>3396</v>
      </c>
      <c r="S10" s="17" t="n">
        <v>3417</v>
      </c>
      <c r="T10" s="17" t="n">
        <v>3568</v>
      </c>
      <c r="U10" s="17" t="n">
        <v>3575</v>
      </c>
      <c r="V10" s="17" t="n">
        <v>3511</v>
      </c>
      <c r="W10" s="17" t="n">
        <v>3585</v>
      </c>
      <c r="X10" s="17" t="n">
        <v>3872</v>
      </c>
      <c r="Y10" s="17" t="n">
        <v>3918</v>
      </c>
    </row>
    <row r="11" customFormat="false" ht="15" hidden="false" customHeight="true" outlineLevel="0" collapsed="false">
      <c r="A11" s="14" t="s">
        <v>25</v>
      </c>
      <c r="B11" s="15" t="n">
        <v>1171</v>
      </c>
      <c r="C11" s="15" t="n">
        <v>1264</v>
      </c>
      <c r="D11" s="15" t="n">
        <v>1272</v>
      </c>
      <c r="E11" s="15" t="n">
        <v>1301</v>
      </c>
      <c r="F11" s="15" t="n">
        <v>1359</v>
      </c>
      <c r="G11" s="15" t="n">
        <v>1317</v>
      </c>
      <c r="H11" s="15" t="n">
        <v>1417</v>
      </c>
      <c r="I11" s="15" t="n">
        <v>1404</v>
      </c>
      <c r="J11" s="15" t="n">
        <v>1448</v>
      </c>
      <c r="K11" s="15" t="n">
        <v>1442</v>
      </c>
      <c r="L11" s="15" t="n">
        <v>1491</v>
      </c>
      <c r="M11" s="15" t="n">
        <v>1550</v>
      </c>
      <c r="N11" s="15" t="n">
        <v>1626</v>
      </c>
      <c r="O11" s="15" t="n">
        <v>1588</v>
      </c>
      <c r="P11" s="15" t="n">
        <v>1608</v>
      </c>
      <c r="Q11" s="15" t="n">
        <v>1659</v>
      </c>
      <c r="R11" s="15" t="n">
        <v>1596</v>
      </c>
      <c r="S11" s="15" t="n">
        <v>1593</v>
      </c>
      <c r="T11" s="15" t="n">
        <v>1746</v>
      </c>
      <c r="U11" s="15" t="n">
        <v>1718</v>
      </c>
      <c r="V11" s="15" t="n">
        <v>1607</v>
      </c>
      <c r="W11" s="15" t="n">
        <v>1680</v>
      </c>
      <c r="X11" s="15" t="n">
        <v>1772</v>
      </c>
      <c r="Y11" s="15" t="n">
        <v>1837</v>
      </c>
    </row>
    <row r="12" customFormat="false" ht="15" hidden="false" customHeight="true" outlineLevel="0" collapsed="false">
      <c r="A12" s="16" t="s">
        <v>26</v>
      </c>
      <c r="B12" s="17" t="n">
        <v>1354</v>
      </c>
      <c r="C12" s="17" t="n">
        <v>1400</v>
      </c>
      <c r="D12" s="17" t="n">
        <v>1407</v>
      </c>
      <c r="E12" s="17" t="n">
        <v>1396</v>
      </c>
      <c r="F12" s="17" t="n">
        <v>1508</v>
      </c>
      <c r="G12" s="17" t="n">
        <v>1527</v>
      </c>
      <c r="H12" s="17" t="n">
        <v>1563</v>
      </c>
      <c r="I12" s="17" t="n">
        <v>1680</v>
      </c>
      <c r="J12" s="17" t="n">
        <v>1678</v>
      </c>
      <c r="K12" s="17" t="n">
        <v>1570</v>
      </c>
      <c r="L12" s="17" t="n">
        <v>1602</v>
      </c>
      <c r="M12" s="17" t="n">
        <v>1744</v>
      </c>
      <c r="N12" s="17" t="n">
        <v>1811</v>
      </c>
      <c r="O12" s="17" t="n">
        <v>1803</v>
      </c>
      <c r="P12" s="17" t="n">
        <v>1825</v>
      </c>
      <c r="Q12" s="17" t="n">
        <v>1858</v>
      </c>
      <c r="R12" s="17" t="n">
        <v>1974</v>
      </c>
      <c r="S12" s="17" t="n">
        <v>1902</v>
      </c>
      <c r="T12" s="17" t="n">
        <v>1968</v>
      </c>
      <c r="U12" s="17" t="n">
        <v>2100</v>
      </c>
      <c r="V12" s="17" t="n">
        <v>1954</v>
      </c>
      <c r="W12" s="17" t="n">
        <v>2185</v>
      </c>
      <c r="X12" s="17" t="n">
        <v>2256</v>
      </c>
      <c r="Y12" s="17" t="n">
        <v>2297</v>
      </c>
    </row>
    <row r="13" customFormat="false" ht="15" hidden="false" customHeight="true" outlineLevel="0" collapsed="false">
      <c r="A13" s="14" t="s">
        <v>27</v>
      </c>
      <c r="B13" s="15" t="n">
        <v>1072</v>
      </c>
      <c r="C13" s="15" t="n">
        <v>1096</v>
      </c>
      <c r="D13" s="15" t="n">
        <v>1146</v>
      </c>
      <c r="E13" s="15" t="n">
        <v>1182</v>
      </c>
      <c r="F13" s="15" t="n">
        <v>1174</v>
      </c>
      <c r="G13" s="15" t="n">
        <v>1192</v>
      </c>
      <c r="H13" s="15" t="n">
        <v>1226</v>
      </c>
      <c r="I13" s="15" t="n">
        <v>1283</v>
      </c>
      <c r="J13" s="15" t="n">
        <v>1323</v>
      </c>
      <c r="K13" s="15" t="n">
        <v>1309</v>
      </c>
      <c r="L13" s="15" t="n">
        <v>1327</v>
      </c>
      <c r="M13" s="15" t="n">
        <v>1339</v>
      </c>
      <c r="N13" s="15" t="n">
        <v>1417</v>
      </c>
      <c r="O13" s="15" t="n">
        <v>1333</v>
      </c>
      <c r="P13" s="15" t="n">
        <v>1416</v>
      </c>
      <c r="Q13" s="15" t="n">
        <v>1512</v>
      </c>
      <c r="R13" s="15" t="n">
        <v>1473</v>
      </c>
      <c r="S13" s="15" t="n">
        <v>1576</v>
      </c>
      <c r="T13" s="15" t="n">
        <v>1516</v>
      </c>
      <c r="U13" s="15" t="n">
        <v>1591</v>
      </c>
      <c r="V13" s="15" t="n">
        <v>1453</v>
      </c>
      <c r="W13" s="15" t="n">
        <v>1515</v>
      </c>
      <c r="X13" s="15" t="n">
        <v>1671</v>
      </c>
      <c r="Y13" s="15" t="n">
        <v>1711</v>
      </c>
    </row>
    <row r="14" customFormat="false" ht="15" hidden="false" customHeight="true" outlineLevel="0" collapsed="false">
      <c r="A14" s="16" t="s">
        <v>28</v>
      </c>
      <c r="B14" s="17" t="n">
        <v>2043</v>
      </c>
      <c r="C14" s="17" t="n">
        <v>2030</v>
      </c>
      <c r="D14" s="17" t="n">
        <v>2174</v>
      </c>
      <c r="E14" s="17" t="n">
        <v>2039</v>
      </c>
      <c r="F14" s="17" t="n">
        <v>2012</v>
      </c>
      <c r="G14" s="17" t="n">
        <v>2007</v>
      </c>
      <c r="H14" s="17" t="n">
        <v>2099</v>
      </c>
      <c r="I14" s="17" t="n">
        <v>2123</v>
      </c>
      <c r="J14" s="17" t="n">
        <v>2087</v>
      </c>
      <c r="K14" s="17" t="n">
        <v>2162</v>
      </c>
      <c r="L14" s="17" t="n">
        <v>2144</v>
      </c>
      <c r="M14" s="17" t="n">
        <v>2133</v>
      </c>
      <c r="N14" s="17" t="n">
        <v>2224</v>
      </c>
      <c r="O14" s="17" t="n">
        <v>2211</v>
      </c>
      <c r="P14" s="17" t="n">
        <v>2126</v>
      </c>
      <c r="Q14" s="17" t="n">
        <v>2241</v>
      </c>
      <c r="R14" s="17" t="n">
        <v>2248</v>
      </c>
      <c r="S14" s="17" t="n">
        <v>2370</v>
      </c>
      <c r="T14" s="17" t="n">
        <v>2393</v>
      </c>
      <c r="U14" s="17" t="n">
        <v>2362</v>
      </c>
      <c r="V14" s="17" t="n">
        <v>2160</v>
      </c>
      <c r="W14" s="17" t="n">
        <v>2297</v>
      </c>
      <c r="X14" s="17" t="n">
        <v>2297</v>
      </c>
      <c r="Y14" s="17" t="n">
        <v>2338</v>
      </c>
    </row>
    <row r="15" customFormat="false" ht="15" hidden="false" customHeight="true" outlineLevel="0" collapsed="false">
      <c r="A15" s="14" t="s">
        <v>29</v>
      </c>
      <c r="B15" s="15" t="n">
        <v>3033</v>
      </c>
      <c r="C15" s="15" t="n">
        <v>3227</v>
      </c>
      <c r="D15" s="15" t="n">
        <v>3245</v>
      </c>
      <c r="E15" s="15" t="n">
        <v>3211</v>
      </c>
      <c r="F15" s="15" t="n">
        <v>3252</v>
      </c>
      <c r="G15" s="15" t="n">
        <v>3409</v>
      </c>
      <c r="H15" s="15" t="n">
        <v>3428</v>
      </c>
      <c r="I15" s="15" t="n">
        <v>3573</v>
      </c>
      <c r="J15" s="15" t="n">
        <v>3585</v>
      </c>
      <c r="K15" s="15" t="n">
        <v>3429</v>
      </c>
      <c r="L15" s="15" t="n">
        <v>3621</v>
      </c>
      <c r="M15" s="15" t="n">
        <v>3690</v>
      </c>
      <c r="N15" s="15" t="n">
        <v>3644</v>
      </c>
      <c r="O15" s="15" t="n">
        <v>3908</v>
      </c>
      <c r="P15" s="15" t="n">
        <v>3913</v>
      </c>
      <c r="Q15" s="15" t="n">
        <v>3890</v>
      </c>
      <c r="R15" s="15" t="n">
        <v>4014</v>
      </c>
      <c r="S15" s="15" t="n">
        <v>4120</v>
      </c>
      <c r="T15" s="15" t="n">
        <v>4027</v>
      </c>
      <c r="U15" s="15" t="n">
        <v>4118</v>
      </c>
      <c r="V15" s="15" t="n">
        <v>3973</v>
      </c>
      <c r="W15" s="15" t="n">
        <v>4231</v>
      </c>
      <c r="X15" s="15" t="n">
        <v>4307</v>
      </c>
      <c r="Y15" s="15" t="n">
        <v>4252</v>
      </c>
    </row>
    <row r="16" customFormat="false" ht="15" hidden="false" customHeight="true" outlineLevel="0" collapsed="false">
      <c r="A16" s="16" t="s">
        <v>30</v>
      </c>
      <c r="B16" s="17" t="n">
        <v>985</v>
      </c>
      <c r="C16" s="17" t="n">
        <v>960</v>
      </c>
      <c r="D16" s="17" t="n">
        <v>960</v>
      </c>
      <c r="E16" s="17" t="n">
        <v>1054</v>
      </c>
      <c r="F16" s="17" t="n">
        <v>1033</v>
      </c>
      <c r="G16" s="17" t="n">
        <v>1076</v>
      </c>
      <c r="H16" s="17" t="n">
        <v>1140</v>
      </c>
      <c r="I16" s="17" t="n">
        <v>1130</v>
      </c>
      <c r="J16" s="17" t="n">
        <v>1151</v>
      </c>
      <c r="K16" s="17" t="n">
        <v>1140</v>
      </c>
      <c r="L16" s="17" t="n">
        <v>1222</v>
      </c>
      <c r="M16" s="17" t="n">
        <v>1226</v>
      </c>
      <c r="N16" s="17" t="n">
        <v>1242</v>
      </c>
      <c r="O16" s="17" t="n">
        <v>1296</v>
      </c>
      <c r="P16" s="17" t="n">
        <v>1371</v>
      </c>
      <c r="Q16" s="17" t="n">
        <v>1410</v>
      </c>
      <c r="R16" s="17" t="n">
        <v>1329</v>
      </c>
      <c r="S16" s="17" t="n">
        <v>1396</v>
      </c>
      <c r="T16" s="17" t="n">
        <v>1358</v>
      </c>
      <c r="U16" s="17" t="n">
        <v>1388</v>
      </c>
      <c r="V16" s="17" t="n">
        <v>1331</v>
      </c>
      <c r="W16" s="17" t="n">
        <v>1362</v>
      </c>
      <c r="X16" s="17" t="n">
        <v>1423</v>
      </c>
      <c r="Y16" s="17" t="n">
        <v>1421</v>
      </c>
    </row>
    <row r="17" customFormat="false" ht="15" hidden="false" customHeight="true" outlineLevel="0" collapsed="false">
      <c r="A17" s="14" t="s">
        <v>31</v>
      </c>
      <c r="B17" s="15" t="n">
        <v>2361</v>
      </c>
      <c r="C17" s="15" t="n">
        <v>2477</v>
      </c>
      <c r="D17" s="15" t="n">
        <v>2532</v>
      </c>
      <c r="E17" s="15" t="n">
        <v>2708</v>
      </c>
      <c r="F17" s="15" t="n">
        <v>2663</v>
      </c>
      <c r="G17" s="15" t="n">
        <v>2782</v>
      </c>
      <c r="H17" s="15" t="n">
        <v>2813</v>
      </c>
      <c r="I17" s="15" t="n">
        <v>3042</v>
      </c>
      <c r="J17" s="15" t="n">
        <v>3128</v>
      </c>
      <c r="K17" s="15" t="n">
        <v>3135</v>
      </c>
      <c r="L17" s="15" t="n">
        <v>3147</v>
      </c>
      <c r="M17" s="15" t="n">
        <v>3085</v>
      </c>
      <c r="N17" s="15" t="n">
        <v>3289</v>
      </c>
      <c r="O17" s="15" t="n">
        <v>3523</v>
      </c>
      <c r="P17" s="15" t="n">
        <v>3534</v>
      </c>
      <c r="Q17" s="15" t="n">
        <v>3598</v>
      </c>
      <c r="R17" s="15" t="n">
        <v>3808</v>
      </c>
      <c r="S17" s="15" t="n">
        <v>3998</v>
      </c>
      <c r="T17" s="15" t="n">
        <v>3981</v>
      </c>
      <c r="U17" s="15" t="n">
        <v>4292</v>
      </c>
      <c r="V17" s="15" t="n">
        <v>3901</v>
      </c>
      <c r="W17" s="15" t="n">
        <v>4188</v>
      </c>
      <c r="X17" s="15" t="n">
        <v>4378</v>
      </c>
      <c r="Y17" s="15" t="n">
        <v>4639</v>
      </c>
    </row>
    <row r="18" customFormat="false" ht="15" hidden="false" customHeight="true" outlineLevel="0" collapsed="false">
      <c r="A18" s="16" t="s">
        <v>32</v>
      </c>
      <c r="B18" s="17" t="n">
        <v>1521</v>
      </c>
      <c r="C18" s="17" t="n">
        <v>1555</v>
      </c>
      <c r="D18" s="17" t="n">
        <v>1513</v>
      </c>
      <c r="E18" s="17" t="n">
        <v>1649</v>
      </c>
      <c r="F18" s="17" t="n">
        <v>1704</v>
      </c>
      <c r="G18" s="17" t="n">
        <v>1824</v>
      </c>
      <c r="H18" s="17" t="n">
        <v>1817</v>
      </c>
      <c r="I18" s="17" t="n">
        <v>1907</v>
      </c>
      <c r="J18" s="17" t="n">
        <v>2006</v>
      </c>
      <c r="K18" s="17" t="n">
        <v>2045</v>
      </c>
      <c r="L18" s="17" t="n">
        <v>2080</v>
      </c>
      <c r="M18" s="17" t="n">
        <v>2136</v>
      </c>
      <c r="N18" s="17" t="n">
        <v>2274</v>
      </c>
      <c r="O18" s="17" t="n">
        <v>2274</v>
      </c>
      <c r="P18" s="17" t="n">
        <v>2274</v>
      </c>
      <c r="Q18" s="17" t="n">
        <v>2375</v>
      </c>
      <c r="R18" s="17" t="n">
        <v>2412</v>
      </c>
      <c r="S18" s="17" t="n">
        <v>2626</v>
      </c>
      <c r="T18" s="17" t="n">
        <v>2598</v>
      </c>
      <c r="U18" s="17" t="n">
        <v>2851</v>
      </c>
      <c r="V18" s="17" t="n">
        <v>2657</v>
      </c>
      <c r="W18" s="17" t="n">
        <v>2723</v>
      </c>
      <c r="X18" s="17" t="n">
        <v>2883</v>
      </c>
      <c r="Y18" s="17" t="n">
        <v>2903</v>
      </c>
    </row>
    <row r="19" customFormat="false" ht="15" hidden="false" customHeight="true" outlineLevel="0" collapsed="false">
      <c r="A19" s="14" t="s">
        <v>33</v>
      </c>
      <c r="B19" s="15" t="n">
        <v>1233</v>
      </c>
      <c r="C19" s="15" t="n">
        <v>1300</v>
      </c>
      <c r="D19" s="15" t="n">
        <v>1324</v>
      </c>
      <c r="E19" s="15" t="n">
        <v>1312</v>
      </c>
      <c r="F19" s="15" t="n">
        <v>1328</v>
      </c>
      <c r="G19" s="15" t="n">
        <v>1394</v>
      </c>
      <c r="H19" s="15" t="n">
        <v>1392</v>
      </c>
      <c r="I19" s="15" t="n">
        <v>1519</v>
      </c>
      <c r="J19" s="15" t="n">
        <v>1502</v>
      </c>
      <c r="K19" s="15" t="n">
        <v>1526</v>
      </c>
      <c r="L19" s="15" t="n">
        <v>1513</v>
      </c>
      <c r="M19" s="15" t="n">
        <v>1627</v>
      </c>
      <c r="N19" s="15" t="n">
        <v>1641</v>
      </c>
      <c r="O19" s="15" t="n">
        <v>1714</v>
      </c>
      <c r="P19" s="15" t="n">
        <v>1830</v>
      </c>
      <c r="Q19" s="15" t="n">
        <v>1814</v>
      </c>
      <c r="R19" s="15" t="n">
        <v>1797</v>
      </c>
      <c r="S19" s="15" t="n">
        <v>1839</v>
      </c>
      <c r="T19" s="15" t="n">
        <v>1980</v>
      </c>
      <c r="U19" s="15" t="n">
        <v>2042</v>
      </c>
      <c r="V19" s="15" t="n">
        <v>1937</v>
      </c>
      <c r="W19" s="15" t="n">
        <v>2128</v>
      </c>
      <c r="X19" s="15" t="n">
        <v>2231</v>
      </c>
      <c r="Y19" s="15" t="n">
        <v>2288</v>
      </c>
    </row>
    <row r="20" customFormat="false" ht="15" hidden="false" customHeight="true" outlineLevel="0" collapsed="false">
      <c r="A20" s="16" t="s">
        <v>34</v>
      </c>
      <c r="B20" s="17" t="n">
        <v>1594</v>
      </c>
      <c r="C20" s="17" t="n">
        <v>1560</v>
      </c>
      <c r="D20" s="17" t="n">
        <v>1574</v>
      </c>
      <c r="E20" s="17" t="n">
        <v>1567</v>
      </c>
      <c r="F20" s="17" t="n">
        <v>1636</v>
      </c>
      <c r="G20" s="17" t="n">
        <v>1758</v>
      </c>
      <c r="H20" s="17" t="n">
        <v>1724</v>
      </c>
      <c r="I20" s="17" t="n">
        <v>1739</v>
      </c>
      <c r="J20" s="17" t="n">
        <v>1707</v>
      </c>
      <c r="K20" s="17" t="n">
        <v>1740</v>
      </c>
      <c r="L20" s="17" t="n">
        <v>1769</v>
      </c>
      <c r="M20" s="17" t="n">
        <v>1776</v>
      </c>
      <c r="N20" s="17" t="n">
        <v>1805</v>
      </c>
      <c r="O20" s="17" t="n">
        <v>1865</v>
      </c>
      <c r="P20" s="17" t="n">
        <v>1863</v>
      </c>
      <c r="Q20" s="17" t="n">
        <v>1906</v>
      </c>
      <c r="R20" s="17" t="n">
        <v>1895</v>
      </c>
      <c r="S20" s="17" t="n">
        <v>1892</v>
      </c>
      <c r="T20" s="17" t="n">
        <v>2040</v>
      </c>
      <c r="U20" s="17" t="n">
        <v>2058</v>
      </c>
      <c r="V20" s="17" t="n">
        <v>1908</v>
      </c>
      <c r="W20" s="17" t="n">
        <v>2042</v>
      </c>
      <c r="X20" s="17" t="n">
        <v>2143</v>
      </c>
      <c r="Y20" s="17" t="n">
        <v>2164</v>
      </c>
    </row>
    <row r="21" customFormat="false" ht="15" hidden="false" customHeight="true" outlineLevel="0" collapsed="false">
      <c r="A21" s="14" t="s">
        <v>35</v>
      </c>
      <c r="B21" s="15" t="n">
        <v>3048</v>
      </c>
      <c r="C21" s="15" t="n">
        <v>3037</v>
      </c>
      <c r="D21" s="15" t="n">
        <v>3258</v>
      </c>
      <c r="E21" s="15" t="n">
        <v>3189</v>
      </c>
      <c r="F21" s="15" t="n">
        <v>3345</v>
      </c>
      <c r="G21" s="15" t="n">
        <v>3270</v>
      </c>
      <c r="H21" s="15" t="n">
        <v>3355</v>
      </c>
      <c r="I21" s="15" t="n">
        <v>3671</v>
      </c>
      <c r="J21" s="15" t="n">
        <v>3745</v>
      </c>
      <c r="K21" s="15" t="n">
        <v>3623</v>
      </c>
      <c r="L21" s="15" t="n">
        <v>3875</v>
      </c>
      <c r="M21" s="15" t="n">
        <v>3847</v>
      </c>
      <c r="N21" s="15" t="n">
        <v>3812</v>
      </c>
      <c r="O21" s="15" t="n">
        <v>3798</v>
      </c>
      <c r="P21" s="15" t="n">
        <v>3818</v>
      </c>
      <c r="Q21" s="15" t="n">
        <v>3795</v>
      </c>
      <c r="R21" s="15" t="n">
        <v>3819</v>
      </c>
      <c r="S21" s="15" t="n">
        <v>3774</v>
      </c>
      <c r="T21" s="15" t="n">
        <v>3846</v>
      </c>
      <c r="U21" s="15" t="n">
        <v>3729</v>
      </c>
      <c r="V21" s="15" t="n">
        <v>3498</v>
      </c>
      <c r="W21" s="15" t="n">
        <v>3649</v>
      </c>
      <c r="X21" s="15" t="n">
        <v>3892</v>
      </c>
      <c r="Y21" s="15" t="n">
        <v>3939</v>
      </c>
    </row>
    <row r="22" customFormat="false" ht="15" hidden="false" customHeight="true" outlineLevel="0" collapsed="false">
      <c r="A22" s="16" t="s">
        <v>36</v>
      </c>
      <c r="B22" s="17" t="n">
        <v>3330</v>
      </c>
      <c r="C22" s="17" t="n">
        <v>3157</v>
      </c>
      <c r="D22" s="17" t="n">
        <v>2917</v>
      </c>
      <c r="E22" s="17" t="n">
        <v>3062</v>
      </c>
      <c r="F22" s="17" t="n">
        <v>3189</v>
      </c>
      <c r="G22" s="17" t="n">
        <v>3230</v>
      </c>
      <c r="H22" s="17" t="n">
        <v>3382</v>
      </c>
      <c r="I22" s="17" t="n">
        <v>3363</v>
      </c>
      <c r="J22" s="17" t="n">
        <v>3569</v>
      </c>
      <c r="K22" s="17" t="n">
        <v>3420</v>
      </c>
      <c r="L22" s="17" t="n">
        <v>3653</v>
      </c>
      <c r="M22" s="22"/>
      <c r="N22" s="17" t="n">
        <v>3803</v>
      </c>
      <c r="O22" s="17" t="n">
        <v>3738</v>
      </c>
      <c r="P22" s="17" t="n">
        <v>3994</v>
      </c>
      <c r="Q22" s="17" t="n">
        <v>3922</v>
      </c>
      <c r="R22" s="17" t="n">
        <v>3997</v>
      </c>
      <c r="S22" s="17" t="n">
        <v>3929</v>
      </c>
      <c r="T22" s="17" t="n">
        <v>4020</v>
      </c>
      <c r="U22" s="17" t="n">
        <v>4103</v>
      </c>
      <c r="V22" s="17" t="n">
        <v>3788</v>
      </c>
      <c r="W22" s="17" t="n">
        <v>4119</v>
      </c>
      <c r="X22" s="17" t="n">
        <v>4068</v>
      </c>
      <c r="Y22" s="17" t="n">
        <v>4398</v>
      </c>
    </row>
    <row r="23" customFormat="false" ht="15" hidden="false" customHeight="true" outlineLevel="0" collapsed="false">
      <c r="A23" s="14" t="s">
        <v>37</v>
      </c>
      <c r="B23" s="15" t="n">
        <v>2485</v>
      </c>
      <c r="C23" s="15" t="n">
        <v>2580</v>
      </c>
      <c r="D23" s="15" t="n">
        <v>2464</v>
      </c>
      <c r="E23" s="15" t="n">
        <v>2305</v>
      </c>
      <c r="F23" s="15" t="n">
        <v>2539</v>
      </c>
      <c r="G23" s="15" t="n">
        <v>2543</v>
      </c>
      <c r="H23" s="15" t="n">
        <v>2613</v>
      </c>
      <c r="I23" s="15" t="n">
        <v>2552</v>
      </c>
      <c r="J23" s="15" t="n">
        <v>2698</v>
      </c>
      <c r="K23" s="15" t="n">
        <v>2562</v>
      </c>
      <c r="L23" s="15" t="n">
        <v>2782</v>
      </c>
      <c r="M23" s="15" t="n">
        <v>2669</v>
      </c>
      <c r="N23" s="15" t="n">
        <v>2762</v>
      </c>
      <c r="O23" s="15" t="n">
        <v>2773</v>
      </c>
      <c r="P23" s="15" t="n">
        <v>2766</v>
      </c>
      <c r="Q23" s="15" t="n">
        <v>2639</v>
      </c>
      <c r="R23" s="15" t="n">
        <v>2222</v>
      </c>
      <c r="S23" s="15" t="n">
        <v>2055</v>
      </c>
      <c r="T23" s="15" t="n">
        <v>1817</v>
      </c>
      <c r="U23" s="15" t="n">
        <v>1462</v>
      </c>
      <c r="V23" s="15" t="n">
        <v>1197</v>
      </c>
      <c r="W23" s="15" t="n">
        <v>1323</v>
      </c>
      <c r="X23" s="15" t="n">
        <v>1387</v>
      </c>
      <c r="Y23" s="15" t="n">
        <v>1435</v>
      </c>
    </row>
  </sheetData>
  <autoFilter ref="A2:Y23"/>
  <mergeCells count="1">
    <mergeCell ref="A1:Y1"/>
  </mergeCells>
  <conditionalFormatting sqref="B3:Y23">
    <cfRule type="colorScale" priority="2">
      <colorScale>
        <cfvo type="min" val="0"/>
        <cfvo type="max" val="0"/>
        <color rgb="FFFFFFFF"/>
        <color rgb="FFBBD7EC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2026-08-31T18:03:27Z</dcterms:created>
  <dc:creator>Unidad de estadísticas</dc:creator>
  <dc:description>Datos sintéticos de ejemplo. No son estadísticas oficiales de ninguna institución.</dc:description>
  <dc:language>en-US</dc:language>
  <cp:lastModifiedBy/>
  <dcterms:modified xsi:type="dcterms:W3CDTF">2026-08-31T18:32:46Z</dcterms:modified>
  <cp:revision>0</cp:revision>
  <dc:subject/>
  <dc:title>Emisiones y energía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