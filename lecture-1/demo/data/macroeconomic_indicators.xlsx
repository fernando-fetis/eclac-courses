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GDP" sheetId="2" state="visible" r:id="rId4"/>
    <sheet name="GDP_per_capita" sheetId="3" state="visible" r:id="rId5"/>
    <sheet name="Growth" sheetId="4" state="visible" r:id="rId6"/>
    <sheet name="Exchange_Rate" sheetId="5" state="visible" r:id="rId7"/>
    <sheet name="Metadata" sheetId="6" state="visible" r:id="rId8"/>
  </sheets>
  <definedNames>
    <definedName function="false" hidden="false" localSheetId="4" name="_xlnm.Print_Titles" vbProcedure="false">Exchange_Rate!$3:$3</definedName>
    <definedName function="false" hidden="true" localSheetId="4" name="_xlnm._FilterDatabase" vbProcedure="false">Exchange_Rate!$A$3:$AA$24</definedName>
    <definedName function="false" hidden="false" localSheetId="1" name="_xlnm.Print_Titles" vbProcedure="false">GDP!$3:$3</definedName>
    <definedName function="false" hidden="true" localSheetId="1" name="_xlnm._FilterDatabase" vbProcedure="false">GDP!$A$3:$AA$24</definedName>
    <definedName function="false" hidden="false" localSheetId="2" name="_xlnm.Print_Titles" vbProcedure="false">GDP_per_capita!$2:$2</definedName>
    <definedName function="false" hidden="true" localSheetId="2" name="_xlnm._FilterDatabase" vbProcedure="false">GDP_per_capita!$A$2:$AA$23</definedName>
    <definedName function="false" hidden="false" localSheetId="3" name="_xlnm.Print_Titles" vbProcedure="false">Growth!$3:$3</definedName>
    <definedName function="false" hidden="true" localSheetId="3" name="_xlnm._FilterDatabase" vbProcedure="false">Growth!$A$3:$AA$24</definedName>
    <definedName function="false" hidden="false" localSheetId="5" name="_xlnm.Print_Titles" vbProcedure="false">Metadata!$1:$1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<sst xmlns="http://schemas.openxmlformats.org/spreadsheetml/2006/main" count="133" uniqueCount="63">
  <si>
    <t xml:space="preserve">Macroeconomic indicators</t>
  </si>
  <si>
    <t xml:space="preserve">Computed with formulas over the data sheets in this workbook.</t>
  </si>
  <si>
    <t xml:space="preserve">Sheet</t>
  </si>
  <si>
    <t xml:space="preserve">Data rows</t>
  </si>
  <si>
    <t xml:space="preserve">First year</t>
  </si>
  <si>
    <t xml:space="preserve">Last year</t>
  </si>
  <si>
    <t xml:space="preserve">Average, last year</t>
  </si>
  <si>
    <t xml:space="preserve">Minimum</t>
  </si>
  <si>
    <t xml:space="preserve">Maximum</t>
  </si>
  <si>
    <t xml:space="preserve">GDP</t>
  </si>
  <si>
    <t xml:space="preserve">GDP_per_capita</t>
  </si>
  <si>
    <t xml:space="preserve">Growth</t>
  </si>
  <si>
    <t xml:space="preserve">Exchange_Rate</t>
  </si>
  <si>
    <t xml:space="preserve">Blank cells are series with no data for the last year in every country.</t>
  </si>
  <si>
    <t xml:space="preserve">Gross domestic product at current prices</t>
  </si>
  <si>
    <t xml:space="preserve">Millions of US dollars. '..' denotes data not available.</t>
  </si>
  <si>
    <t xml:space="preserve">Country</t>
  </si>
  <si>
    <t xml:space="preserve"> Chile</t>
  </si>
  <si>
    <t xml:space="preserve">Argentina</t>
  </si>
  <si>
    <t xml:space="preserve">Bolivia</t>
  </si>
  <si>
    <t xml:space="preserve">Brazil</t>
  </si>
  <si>
    <t xml:space="preserve">Colombia</t>
  </si>
  <si>
    <t xml:space="preserve">Cuba</t>
  </si>
  <si>
    <t xml:space="preserve">Dominican Republic</t>
  </si>
  <si>
    <t xml:space="preserve">Ecuador</t>
  </si>
  <si>
    <t xml:space="preserve">El  Salvador</t>
  </si>
  <si>
    <t xml:space="preserve">Guatemala</t>
  </si>
  <si>
    <t xml:space="preserve">Honduras</t>
  </si>
  <si>
    <t xml:space="preserve">Jamaica</t>
  </si>
  <si>
    <t xml:space="preserve">Mexico</t>
  </si>
  <si>
    <t xml:space="preserve">Nicaragua</t>
  </si>
  <si>
    <t xml:space="preserve">Panama</t>
  </si>
  <si>
    <t xml:space="preserve">Paraguay</t>
  </si>
  <si>
    <t xml:space="preserve">Peru</t>
  </si>
  <si>
    <t xml:space="preserve">Trinidad and Tobago</t>
  </si>
  <si>
    <t xml:space="preserve">URUGUAY</t>
  </si>
  <si>
    <t xml:space="preserve">Venezuela</t>
  </si>
  <si>
    <t xml:space="preserve">costa rica</t>
  </si>
  <si>
    <t xml:space="preserve">..</t>
  </si>
  <si>
    <t xml:space="preserve">GDP per capita, current US dollars</t>
  </si>
  <si>
    <t xml:space="preserve">Real GDP growth, annual percentage change</t>
  </si>
  <si>
    <t xml:space="preserve">Constant 2015 prices</t>
  </si>
  <si>
    <t xml:space="preserve">Annual average exchange rate, local currency per US dollar</t>
  </si>
  <si>
    <t xml:space="preserve">Dollarized economies are reported as 1.0</t>
  </si>
  <si>
    <t xml:space="preserve">Item</t>
  </si>
  <si>
    <t xml:space="preserve">Value</t>
  </si>
  <si>
    <t xml:space="preserve">Table</t>
  </si>
  <si>
    <t xml:space="preserve">Coverage</t>
  </si>
  <si>
    <t xml:space="preserve">2000-2025</t>
  </si>
  <si>
    <t xml:space="preserve">Units (GDP)</t>
  </si>
  <si>
    <t xml:space="preserve">Millions of US dollars at current prices</t>
  </si>
  <si>
    <t xml:space="preserve">Units (GDP per capita)</t>
  </si>
  <si>
    <t xml:space="preserve">US dollars at current prices</t>
  </si>
  <si>
    <t xml:space="preserve">Units (Growth)</t>
  </si>
  <si>
    <t xml:space="preserve">Annual percentage change of GDP at constant prices</t>
  </si>
  <si>
    <t xml:space="preserve">Units (Exchange rate)</t>
  </si>
  <si>
    <t xml:space="preserve">Local currency units per US dollar, annual average</t>
  </si>
  <si>
    <t xml:space="preserve">Compiled by</t>
  </si>
  <si>
    <t xml:space="preserve">Economic statistics unit</t>
  </si>
  <si>
    <t xml:space="preserve">Last revision</t>
  </si>
  <si>
    <t xml:space="preserve">2026-02</t>
  </si>
  <si>
    <t xml:space="preserve">Note</t>
  </si>
  <si>
    <t xml:space="preserve">Figures for 2024 and 2025 are preliminary estimates.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</si>
</sst>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#,##0.00"/>
    <numFmt numFmtId="167" formatCode="#,##0"/>
    <numFmt numFmtId="168" formatCode="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024C7A"/>
      <name val="Calibri"/>
      <family val="0"/>
      <charset val="1"/>
    </font>
    <font>
      <i val="true"/>
      <sz val="10"/>
      <color rgb="FF44545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name val="Calibri"/>
      <family val="0"/>
      <charset val="1"/>
    </font>
    <font>
      <i val="true"/>
      <sz val="9"/>
      <color rgb="FF44545F"/>
      <name val="Calibri"/>
      <family val="0"/>
      <charset val="1"/>
    </font>
    <font>
      <b val="true"/>
      <sz val="14"/>
      <color rgb="FF024C7A"/>
      <name val="Calibri"/>
      <family val="0"/>
      <charset val="1"/>
    </font>
    <font>
      <sz val="10"/>
      <color rgb="FF1A2530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36BAA"/>
        <bgColor rgb="FF008080"/>
      </patternFill>
    </fill>
    <fill>
      <patternFill patternType="solid">
        <fgColor rgb="FFEEF4F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8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10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0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9">
    <dxf>
      <fill>
        <patternFill patternType="solid">
          <fgColor rgb="FF036BAA"/>
          <bgColor rgb="FF000000"/>
        </patternFill>
      </fill>
    </dxf>
    <dxf>
      <fill>
        <patternFill patternType="solid">
          <fgColor rgb="FFEEF4F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A253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BBD7EC"/>
          <bgColor rgb="FF000000"/>
        </patternFill>
      </fill>
    </dxf>
    <dxf>
      <fill>
        <patternFill patternType="solid">
          <fgColor rgb="FFECF4FA"/>
          <bgColor rgb="FF000000"/>
        </patternFill>
      </fill>
    </dxf>
    <dxf>
      <fill>
        <patternFill patternType="solid">
          <fgColor rgb="FFEEF5FB"/>
          <bgColor rgb="FF000000"/>
        </patternFill>
      </fill>
    </dxf>
    <dxf>
      <fill>
        <patternFill patternType="solid">
          <fgColor rgb="FFEFF6FB"/>
          <bgColor rgb="FF000000"/>
        </patternFill>
      </fill>
    </dxf>
    <dxf>
      <fill>
        <patternFill patternType="solid">
          <fgColor rgb="FFF0F6FB"/>
          <bgColor rgb="FF000000"/>
        </patternFill>
      </fill>
    </dxf>
    <dxf>
      <fill>
        <patternFill patternType="solid">
          <fgColor rgb="FFF3F8FC"/>
          <bgColor rgb="FF000000"/>
        </patternFill>
      </fill>
    </dxf>
    <dxf>
      <fill>
        <patternFill patternType="solid">
          <fgColor rgb="FFF4F9FC"/>
          <bgColor rgb="FF000000"/>
        </patternFill>
      </fill>
    </dxf>
    <dxf>
      <fill>
        <patternFill patternType="solid">
          <fgColor rgb="FFF6FAFD"/>
          <bgColor rgb="FF000000"/>
        </patternFill>
      </fill>
    </dxf>
    <dxf>
      <fill>
        <patternFill patternType="solid">
          <fgColor rgb="FFF8FBFD"/>
          <bgColor rgb="FF000000"/>
        </patternFill>
      </fill>
    </dxf>
    <dxf>
      <fill>
        <patternFill patternType="solid">
          <fgColor rgb="FFF8FBFE"/>
          <bgColor rgb="FF000000"/>
        </patternFill>
      </fill>
    </dxf>
    <dxf>
      <fill>
        <patternFill patternType="solid">
          <fgColor rgb="FFFAFCFE"/>
          <bgColor rgb="FF000000"/>
        </patternFill>
      </fill>
    </dxf>
    <dxf>
      <fill>
        <patternFill patternType="solid">
          <fgColor rgb="FFFBFDFE"/>
          <bgColor rgb="FF000000"/>
        </patternFill>
      </fill>
    </dxf>
    <dxf>
      <fill>
        <patternFill patternType="solid">
          <fgColor rgb="FFFCFDFF"/>
          <bgColor rgb="FF000000"/>
        </patternFill>
      </fill>
    </dxf>
    <dxf>
      <fill>
        <patternFill patternType="solid">
          <fgColor rgb="FFFDFEFF"/>
          <bgColor rgb="FF000000"/>
        </patternFill>
      </fill>
    </dxf>
    <dxf>
      <fill>
        <patternFill patternType="solid">
          <fgColor rgb="FFFEFFFF"/>
          <bgColor rgb="FF000000"/>
        </patternFill>
      </fill>
    </dxf>
    <dxf>
      <fill>
        <patternFill patternType="solid">
          <fgColor rgb="FFF5F9FC"/>
          <bgColor rgb="FF000000"/>
        </patternFill>
      </fill>
    </dxf>
    <dxf>
      <fill>
        <patternFill patternType="solid">
          <fgColor rgb="FFF5FAFD"/>
          <bgColor rgb="FF000000"/>
        </patternFill>
      </fill>
    </dxf>
    <dxf>
      <fill>
        <patternFill patternType="solid">
          <fgColor rgb="FFF7FAFD"/>
          <bgColor rgb="FF000000"/>
        </patternFill>
      </fill>
    </dxf>
    <dxf>
      <fill>
        <patternFill patternType="solid">
          <fgColor rgb="FFF9FCFE"/>
          <bgColor rgb="FF000000"/>
        </patternFill>
      </fill>
    </dxf>
    <dxf>
      <fill>
        <patternFill patternType="solid">
          <fgColor rgb="FFFCFDFE"/>
          <bgColor rgb="FF000000"/>
        </patternFill>
      </fill>
    </dxf>
    <dxf>
      <fill>
        <patternFill patternType="solid">
          <fgColor rgb="FFFEFEFF"/>
          <bgColor rgb="FF000000"/>
        </patternFill>
      </fill>
    </dxf>
    <dxf>
      <fill>
        <patternFill patternType="solid">
          <fgColor rgb="FFEDF5FA"/>
          <bgColor rgb="FF000000"/>
        </patternFill>
      </fill>
    </dxf>
    <dxf>
      <fill>
        <patternFill patternType="solid">
          <fgColor rgb="FFF2F8FC"/>
          <bgColor rgb="FF000000"/>
        </patternFill>
      </fill>
    </dxf>
    <dxf>
      <fill>
        <patternFill patternType="solid">
          <fgColor rgb="FFF5F9FD"/>
          <bgColor rgb="FF000000"/>
        </patternFill>
      </fill>
    </dxf>
    <dxf>
      <fill>
        <patternFill patternType="solid">
          <fgColor rgb="FFEBF3FA"/>
          <bgColor rgb="FF000000"/>
        </patternFill>
      </fill>
    </dxf>
    <dxf>
      <fill>
        <patternFill patternType="solid">
          <fgColor rgb="FFF1F7FB"/>
          <bgColor rgb="FF000000"/>
        </patternFill>
      </fill>
    </dxf>
    <dxf>
      <fill>
        <patternFill patternType="solid">
          <fgColor rgb="FFFCFEFF"/>
          <bgColor rgb="FF000000"/>
        </patternFill>
      </fill>
    </dxf>
    <dxf>
      <fill>
        <patternFill patternType="solid">
          <fgColor rgb="FFE9F2F9"/>
          <bgColor rgb="FF000000"/>
        </patternFill>
      </fill>
    </dxf>
    <dxf>
      <fill>
        <patternFill patternType="solid">
          <fgColor rgb="FFF7FBFD"/>
          <bgColor rgb="FF000000"/>
        </patternFill>
      </fill>
    </dxf>
    <dxf>
      <fill>
        <patternFill patternType="solid">
          <fgColor rgb="FFE8F1F9"/>
          <bgColor rgb="FF000000"/>
        </patternFill>
      </fill>
    </dxf>
    <dxf>
      <fill>
        <patternFill patternType="solid">
          <fgColor rgb="FFEAF3F9"/>
          <bgColor rgb="FF000000"/>
        </patternFill>
      </fill>
    </dxf>
    <dxf>
      <fill>
        <patternFill patternType="solid">
          <fgColor rgb="FFEDF4FA"/>
          <bgColor rgb="FF000000"/>
        </patternFill>
      </fill>
    </dxf>
    <dxf>
      <fill>
        <patternFill patternType="solid">
          <fgColor rgb="FFE5F0F8"/>
          <bgColor rgb="FF000000"/>
        </patternFill>
      </fill>
    </dxf>
    <dxf>
      <fill>
        <patternFill patternType="solid">
          <fgColor rgb="FFE6F1F8"/>
          <bgColor rgb="FF000000"/>
        </patternFill>
      </fill>
    </dxf>
    <dxf>
      <fill>
        <patternFill patternType="solid">
          <fgColor rgb="FFE7F1F9"/>
          <bgColor rgb="FF000000"/>
        </patternFill>
      </fill>
    </dxf>
    <dxf>
      <fill>
        <patternFill patternType="solid">
          <fgColor rgb="FFE0EDF7"/>
          <bgColor rgb="FF000000"/>
        </patternFill>
      </fill>
    </dxf>
    <dxf>
      <fill>
        <patternFill patternType="solid">
          <fgColor rgb="FFDCEBF6"/>
          <bgColor rgb="FF000000"/>
        </patternFill>
      </fill>
    </dxf>
    <dxf>
      <fill>
        <patternFill patternType="solid">
          <fgColor rgb="FFE2EEF7"/>
          <bgColor rgb="FF000000"/>
        </patternFill>
      </fill>
    </dxf>
    <dxf>
      <fill>
        <patternFill patternType="solid">
          <fgColor rgb="FFE3EFF7"/>
          <bgColor rgb="FF000000"/>
        </patternFill>
      </fill>
    </dxf>
    <dxf>
      <fill>
        <patternFill patternType="solid">
          <fgColor rgb="FFE4EFF8"/>
          <bgColor rgb="FF000000"/>
        </patternFill>
      </fill>
    </dxf>
    <dxf>
      <fill>
        <patternFill patternType="solid">
          <fgColor rgb="FFEAF3FA"/>
          <bgColor rgb="FF000000"/>
        </patternFill>
      </fill>
    </dxf>
    <dxf>
      <fill>
        <patternFill patternType="solid">
          <fgColor rgb="FFDBEAF5"/>
          <bgColor rgb="FF000000"/>
        </patternFill>
      </fill>
    </dxf>
    <dxf>
      <fill>
        <patternFill patternType="solid">
          <fgColor rgb="FFE1EEF7"/>
          <bgColor rgb="FF000000"/>
        </patternFill>
      </fill>
    </dxf>
    <dxf>
      <fill>
        <patternFill patternType="solid">
          <fgColor rgb="FFE3EEF7"/>
          <bgColor rgb="FF000000"/>
        </patternFill>
      </fill>
    </dxf>
    <dxf>
      <fill>
        <patternFill patternType="solid">
          <fgColor rgb="FFF0F7FB"/>
          <bgColor rgb="FF000000"/>
        </patternFill>
      </fill>
    </dxf>
    <dxf>
      <fill>
        <patternFill patternType="solid">
          <fgColor rgb="FFF9FBFE"/>
          <bgColor rgb="FF000000"/>
        </patternFill>
      </fill>
    </dxf>
    <dxf>
      <fill>
        <patternFill patternType="solid">
          <fgColor rgb="FFD6E7F4"/>
          <bgColor rgb="FF000000"/>
        </patternFill>
      </fill>
    </dxf>
    <dxf>
      <fill>
        <patternFill patternType="solid">
          <fgColor rgb="FFDDEBF6"/>
          <bgColor rgb="FF000000"/>
        </patternFill>
      </fill>
    </dxf>
    <dxf>
      <fill>
        <patternFill patternType="solid">
          <fgColor rgb="FFDEECF6"/>
          <bgColor rgb="FF000000"/>
        </patternFill>
      </fill>
    </dxf>
    <dxf>
      <fill>
        <patternFill patternType="solid">
          <fgColor rgb="FFD1E4F2"/>
          <bgColor rgb="FF000000"/>
        </patternFill>
      </fill>
    </dxf>
    <dxf>
      <fill>
        <patternFill patternType="solid">
          <fgColor rgb="FFD9E9F5"/>
          <bgColor rgb="FF000000"/>
        </patternFill>
      </fill>
    </dxf>
    <dxf>
      <fill>
        <patternFill patternType="solid">
          <fgColor rgb="FFE6F0F8"/>
          <bgColor rgb="FF000000"/>
        </patternFill>
      </fill>
    </dxf>
    <dxf>
      <fill>
        <patternFill patternType="solid">
          <fgColor rgb="FFD3E5F3"/>
          <bgColor rgb="FF000000"/>
        </patternFill>
      </fill>
    </dxf>
    <dxf>
      <fill>
        <patternFill patternType="solid">
          <fgColor rgb="FFD7E8F4"/>
          <bgColor rgb="FF000000"/>
        </patternFill>
      </fill>
    </dxf>
    <dxf>
      <fill>
        <patternFill patternType="solid">
          <fgColor rgb="FFD8E8F5"/>
          <bgColor rgb="FF000000"/>
        </patternFill>
      </fill>
    </dxf>
    <dxf>
      <fill>
        <patternFill patternType="solid">
          <fgColor rgb="FFDAEAF5"/>
          <bgColor rgb="FF000000"/>
        </patternFill>
      </fill>
    </dxf>
    <dxf>
      <fill>
        <patternFill patternType="solid">
          <fgColor rgb="FFF2F7FC"/>
          <bgColor rgb="FF000000"/>
        </patternFill>
      </fill>
    </dxf>
    <dxf>
      <fill>
        <patternFill patternType="solid">
          <fgColor rgb="FFD0E4F2"/>
          <bgColor rgb="FF000000"/>
        </patternFill>
      </fill>
    </dxf>
    <dxf>
      <fill>
        <patternFill patternType="solid">
          <fgColor rgb="FFD5E6F4"/>
          <bgColor rgb="FF000000"/>
        </patternFill>
      </fill>
    </dxf>
    <dxf>
      <fill>
        <patternFill patternType="solid">
          <fgColor rgb="FFD5E7F4"/>
          <bgColor rgb="FF000000"/>
        </patternFill>
      </fill>
    </dxf>
    <dxf>
      <fill>
        <patternFill patternType="solid">
          <fgColor rgb="FFD8E9F5"/>
          <bgColor rgb="FF000000"/>
        </patternFill>
      </fill>
    </dxf>
    <dxf>
      <fill>
        <patternFill patternType="solid">
          <fgColor rgb="FFE1EDF7"/>
          <bgColor rgb="FF000000"/>
        </patternFill>
      </fill>
    </dxf>
    <dxf>
      <fill>
        <patternFill patternType="solid">
          <fgColor rgb="FFCEE2F2"/>
          <bgColor rgb="FF000000"/>
        </patternFill>
      </fill>
    </dxf>
    <dxf>
      <fill>
        <patternFill patternType="solid">
          <fgColor rgb="FFD4E6F3"/>
          <bgColor rgb="FF000000"/>
        </patternFill>
      </fill>
    </dxf>
    <dxf>
      <fill>
        <patternFill patternType="solid">
          <fgColor rgb="FFCFE3F2"/>
          <bgColor rgb="FF000000"/>
        </patternFill>
      </fill>
    </dxf>
    <dxf>
      <fill>
        <patternFill patternType="solid">
          <fgColor rgb="FFDAE9F5"/>
          <bgColor rgb="FF000000"/>
        </patternFill>
      </fill>
    </dxf>
    <dxf>
      <fill>
        <patternFill patternType="solid">
          <fgColor rgb="FFDFEDF6"/>
          <bgColor rgb="FF000000"/>
        </patternFill>
      </fill>
    </dxf>
    <dxf>
      <fill>
        <patternFill patternType="solid">
          <fgColor rgb="FFE3EFF8"/>
          <bgColor rgb="FF000000"/>
        </patternFill>
      </fill>
    </dxf>
    <dxf>
      <fill>
        <patternFill patternType="solid">
          <fgColor rgb="FFEEF5FA"/>
          <bgColor rgb="FF000000"/>
        </patternFill>
      </fill>
    </dxf>
    <dxf>
      <fill>
        <patternFill patternType="solid">
          <fgColor rgb="FFF1F7FC"/>
          <bgColor rgb="FF000000"/>
        </patternFill>
      </fill>
    </dxf>
    <dxf>
      <fill>
        <patternFill patternType="solid">
          <fgColor rgb="FFFAFDFE"/>
          <bgColor rgb="FF000000"/>
        </patternFill>
      </fill>
    </dxf>
    <dxf>
      <fill>
        <patternFill patternType="solid">
          <fgColor rgb="FFD1E4F3"/>
          <bgColor rgb="FF000000"/>
        </patternFill>
      </fill>
    </dxf>
    <dxf>
      <fill>
        <patternFill patternType="solid">
          <fgColor rgb="FFD2E5F3"/>
          <bgColor rgb="FF000000"/>
        </patternFill>
      </fill>
    </dxf>
    <dxf>
      <fill>
        <patternFill patternType="solid">
          <fgColor rgb="FFD2E4F3"/>
          <bgColor rgb="FF000000"/>
        </patternFill>
      </fill>
    </dxf>
    <dxf>
      <fill>
        <patternFill patternType="solid">
          <fgColor rgb="FFDFECF6"/>
          <bgColor rgb="FF000000"/>
        </patternFill>
      </fill>
    </dxf>
    <dxf>
      <fill>
        <patternFill patternType="solid">
          <fgColor rgb="FFEBF4FA"/>
          <bgColor rgb="FF000000"/>
        </patternFill>
      </fill>
    </dxf>
    <dxf>
      <fill>
        <patternFill patternType="solid">
          <fgColor rgb="FFCDE2F1"/>
          <bgColor rgb="FF000000"/>
        </patternFill>
      </fill>
    </dxf>
    <dxf>
      <fill>
        <patternFill patternType="solid">
          <fgColor rgb="FFCEE3F2"/>
          <bgColor rgb="FF000000"/>
        </patternFill>
      </fill>
    </dxf>
    <dxf>
      <fill>
        <patternFill patternType="solid">
          <fgColor rgb="FFDCEAF5"/>
          <bgColor rgb="FF000000"/>
        </patternFill>
      </fill>
    </dxf>
    <dxf>
      <fill>
        <patternFill patternType="solid">
          <fgColor rgb="FFD3E6F3"/>
          <bgColor rgb="FF000000"/>
        </patternFill>
      </fill>
    </dxf>
    <dxf>
      <fill>
        <patternFill patternType="solid">
          <fgColor rgb="FFE8F2F9"/>
          <bgColor rgb="FF000000"/>
        </patternFill>
      </fill>
    </dxf>
    <dxf>
      <fill>
        <patternFill patternType="solid">
          <fgColor rgb="FFCAE0F1"/>
          <bgColor rgb="FF000000"/>
        </patternFill>
      </fill>
    </dxf>
    <dxf>
      <fill>
        <patternFill patternType="solid">
          <fgColor rgb="FFCCE1F1"/>
          <bgColor rgb="FF000000"/>
        </patternFill>
      </fill>
    </dxf>
    <dxf>
      <fill>
        <patternFill patternType="solid">
          <fgColor rgb="FFC8DFF0"/>
          <bgColor rgb="FF000000"/>
        </patternFill>
      </fill>
    </dxf>
    <dxf>
      <fill>
        <patternFill patternType="solid">
          <fgColor rgb="FFC9E0F0"/>
          <bgColor rgb="FF000000"/>
        </patternFill>
      </fill>
    </dxf>
    <dxf>
      <fill>
        <patternFill patternType="solid">
          <fgColor rgb="FFC4DDEF"/>
          <bgColor rgb="FF000000"/>
        </patternFill>
      </fill>
    </dxf>
    <dxf>
      <fill>
        <patternFill patternType="solid">
          <fgColor rgb="FFC6DDEF"/>
          <bgColor rgb="FF000000"/>
        </patternFill>
      </fill>
    </dxf>
    <dxf>
      <fill>
        <patternFill patternType="solid">
          <fgColor rgb="FFCBE1F1"/>
          <bgColor rgb="FF000000"/>
        </patternFill>
      </fill>
    </dxf>
    <dxf>
      <fill>
        <patternFill patternType="solid">
          <fgColor rgb="FFC1DBEE"/>
          <bgColor rgb="FF000000"/>
        </patternFill>
      </fill>
    </dxf>
    <dxf>
      <fill>
        <patternFill patternType="solid">
          <fgColor rgb="FFC2DBEE"/>
          <bgColor rgb="FF000000"/>
        </patternFill>
      </fill>
    </dxf>
    <dxf>
      <fill>
        <patternFill patternType="solid">
          <fgColor rgb="FFC7DFF0"/>
          <bgColor rgb="FF000000"/>
        </patternFill>
      </fill>
    </dxf>
    <dxf>
      <fill>
        <patternFill patternType="solid">
          <fgColor rgb="FFBDD8ED"/>
          <bgColor rgb="FF000000"/>
        </patternFill>
      </fill>
    </dxf>
    <dxf>
      <fill>
        <patternFill patternType="solid">
          <fgColor rgb="FFC0DAEE"/>
          <bgColor rgb="FF000000"/>
        </patternFill>
      </fill>
    </dxf>
    <dxf>
      <fill>
        <patternFill patternType="solid">
          <fgColor rgb="FFC7DEF0"/>
          <bgColor rgb="FF000000"/>
        </patternFill>
      </fill>
    </dxf>
    <dxf>
      <fill>
        <patternFill patternType="solid">
          <fgColor rgb="FFC9DFF0"/>
          <bgColor rgb="FF000000"/>
        </patternFill>
      </fill>
    </dxf>
    <dxf>
      <fill>
        <patternFill patternType="solid">
          <fgColor rgb="FFD8E8F4"/>
          <bgColor rgb="FF000000"/>
        </patternFill>
      </fill>
    </dxf>
    <dxf>
      <fill>
        <patternFill patternType="solid">
          <fgColor rgb="FFD7E7F4"/>
          <bgColor rgb="FF000000"/>
        </patternFill>
      </fill>
    </dxf>
    <dxf>
      <fill>
        <patternFill patternType="solid">
          <fgColor rgb="FFD0E3F2"/>
          <bgColor rgb="FF000000"/>
        </patternFill>
      </fill>
    </dxf>
    <dxf>
      <fill>
        <patternFill patternType="solid">
          <fgColor rgb="FFCBE0F1"/>
          <bgColor rgb="FF000000"/>
        </patternFill>
      </fill>
    </dxf>
    <dxf>
      <fill>
        <patternFill patternType="solid">
          <fgColor rgb="FFCDE2F2"/>
          <bgColor rgb="FF000000"/>
        </patternFill>
      </fill>
    </dxf>
    <dxf>
      <fill>
        <patternFill patternType="solid">
          <fgColor rgb="FFE6F1F9"/>
          <bgColor rgb="FF000000"/>
        </patternFill>
      </fill>
    </dxf>
    <dxf>
      <fill>
        <patternFill patternType="solid">
          <fgColor rgb="FFC3DCEF"/>
          <bgColor rgb="FF000000"/>
        </patternFill>
      </fill>
    </dxf>
    <dxf>
      <fill>
        <patternFill patternType="solid">
          <fgColor rgb="FFC5DDEF"/>
          <bgColor rgb="FF000000"/>
        </patternFill>
      </fill>
    </dxf>
    <dxf>
      <fill>
        <patternFill patternType="solid">
          <fgColor rgb="FFC6DEF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BE4B48"/>
      <rgbColor rgb="FFEEF4F9"/>
      <rgbColor rgb="FFCCFFFF"/>
      <rgbColor rgb="FF660066"/>
      <rgbColor rgb="FFFF8080"/>
      <rgbColor rgb="FF036BAA"/>
      <rgbColor rgb="FFD0D8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8B855"/>
      <rgbColor rgb="FFFFCC00"/>
      <rgbColor rgb="FFC9A227"/>
      <rgbColor rgb="FFFF6600"/>
      <rgbColor rgb="FF7D5FA0"/>
      <rgbColor rgb="FF9AA7B0"/>
      <rgbColor rgb="FF024C7A"/>
      <rgbColor rgb="FF339966"/>
      <rgbColor rgb="FF003300"/>
      <rgbColor rgb="FF333300"/>
      <rgbColor rgb="FF993300"/>
      <rgbColor rgb="FF993366"/>
      <rgbColor rgb="FF44545F"/>
      <rgbColor rgb="FF1A25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Indicadores macroeconómicos · GDP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GDP!A4</c:f>
              <c:strCache>
                <c:ptCount val="1"/>
                <c:pt idx="0">
                  <c:v> Chile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GDP!$B$3:$AA$3</c:f>
              <c:strCach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strCache>
            </c:strRef>
          </c:cat>
          <c:val>
            <c:numRef>
              <c:f>GDP!$B$4:$AA$4</c:f>
              <c:numCache>
                <c:formatCode>#,##0</c:formatCode>
                <c:ptCount val="26"/>
                <c:pt idx="0">
                  <c:v>78540</c:v>
                </c:pt>
                <c:pt idx="1">
                  <c:v>81745.4</c:v>
                </c:pt>
                <c:pt idx="2">
                  <c:v>86353.2</c:v>
                </c:pt>
                <c:pt idx="3">
                  <c:v>94832</c:v>
                </c:pt>
                <c:pt idx="4">
                  <c:v>107072.9</c:v>
                </c:pt>
                <c:pt idx="5">
                  <c:v>119132.6</c:v>
                </c:pt>
                <c:pt idx="6">
                  <c:v>136279.8</c:v>
                </c:pt>
                <c:pt idx="7">
                  <c:v>152229.3</c:v>
                </c:pt>
                <c:pt idx="8">
                  <c:v>169955.6</c:v>
                </c:pt>
                <c:pt idx="9">
                  <c:v>184941.4</c:v>
                </c:pt>
                <c:pt idx="10">
                  <c:v>209046.3</c:v>
                </c:pt>
                <c:pt idx="11">
                  <c:v>228515.2</c:v>
                </c:pt>
                <c:pt idx="12">
                  <c:v>244390.8</c:v>
                </c:pt>
                <c:pt idx="13">
                  <c:v>265309.7</c:v>
                </c:pt>
                <c:pt idx="14">
                  <c:v>277520</c:v>
                </c:pt>
                <c:pt idx="15">
                  <c:v>280994.7</c:v>
                </c:pt>
                <c:pt idx="16">
                  <c:v>282344</c:v>
                </c:pt>
                <c:pt idx="17">
                  <c:v>294569.7</c:v>
                </c:pt>
                <c:pt idx="18">
                  <c:v>316828.6</c:v>
                </c:pt>
                <c:pt idx="19">
                  <c:v>325288.7</c:v>
                </c:pt>
                <c:pt idx="20">
                  <c:v>298853.5</c:v>
                </c:pt>
                <c:pt idx="21">
                  <c:v>345349.4</c:v>
                </c:pt>
                <c:pt idx="22">
                  <c:v>358033.8</c:v>
                </c:pt>
                <c:pt idx="23">
                  <c:v>377525.6</c:v>
                </c:pt>
                <c:pt idx="24">
                  <c:v>400255.7</c:v>
                </c:pt>
                <c:pt idx="25">
                  <c:v>419302.5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GDP!A5</c:f>
              <c:strCache>
                <c:ptCount val="1"/>
                <c:pt idx="0">
                  <c:v>Argentina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GDP!$B$3:$AA$3</c:f>
              <c:strCach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strCache>
            </c:strRef>
          </c:cat>
          <c:val>
            <c:numRef>
              <c:f>GDP!$B$5:$AA$5</c:f>
              <c:numCache>
                <c:formatCode>#,##0</c:formatCode>
                <c:ptCount val="26"/>
                <c:pt idx="0">
                  <c:v>284900</c:v>
                </c:pt>
                <c:pt idx="1">
                  <c:v>283686.5</c:v>
                </c:pt>
                <c:pt idx="2">
                  <c:v>266053.4</c:v>
                </c:pt>
                <c:pt idx="3">
                  <c:v>306094.9</c:v>
                </c:pt>
                <c:pt idx="4">
                  <c:v>326843.4</c:v>
                </c:pt>
                <c:pt idx="5">
                  <c:v>339950.6</c:v>
                </c:pt>
                <c:pt idx="6">
                  <c:v>364936</c:v>
                </c:pt>
                <c:pt idx="7">
                  <c:v>393876.8</c:v>
                </c:pt>
                <c:pt idx="8">
                  <c:v>417071.6</c:v>
                </c:pt>
                <c:pt idx="9">
                  <c:v>435017.2</c:v>
                </c:pt>
                <c:pt idx="10">
                  <c:v>502655</c:v>
                </c:pt>
                <c:pt idx="11">
                  <c:v>529306.1</c:v>
                </c:pt>
                <c:pt idx="12">
                  <c:v>562810.4</c:v>
                </c:pt>
                <c:pt idx="13">
                  <c:v>614124.5</c:v>
                </c:pt>
                <c:pt idx="14">
                  <c:v>652209.5</c:v>
                </c:pt>
                <c:pt idx="15">
                  <c:v>678481.7</c:v>
                </c:pt>
                <c:pt idx="16">
                  <c:v>672463.3</c:v>
                </c:pt>
                <c:pt idx="17">
                  <c:v>709326.6</c:v>
                </c:pt>
                <c:pt idx="18">
                  <c:v>713037.3</c:v>
                </c:pt>
                <c:pt idx="19">
                  <c:v>638601</c:v>
                </c:pt>
                <c:pt idx="20">
                  <c:v>589751.7</c:v>
                </c:pt>
                <c:pt idx="21">
                  <c:v>649214.2</c:v>
                </c:pt>
                <c:pt idx="22">
                  <c:v>668049.8</c:v>
                </c:pt>
                <c:pt idx="23">
                  <c:v>654846</c:v>
                </c:pt>
                <c:pt idx="24">
                  <c:v>665273.6</c:v>
                </c:pt>
                <c:pt idx="25">
                  <c:v>646411.8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GDP!A7</c:f>
              <c:strCache>
                <c:ptCount val="1"/>
                <c:pt idx="0">
                  <c:v>Brazil</c:v>
                </c:pt>
              </c:strCache>
            </c:strRef>
          </c:tx>
          <c:spPr>
            <a:solidFill>
              <a:srgbClr val="98B855"/>
            </a:solidFill>
            <a:ln w="1260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GDP!$B$3:$AA$3</c:f>
              <c:strCach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strCache>
            </c:strRef>
          </c:cat>
          <c:val>
            <c:numRef>
              <c:f>GDP!$B$7:$AA$7</c:f>
              <c:numCache>
                <c:formatCode>#,##0</c:formatCode>
                <c:ptCount val="26"/>
                <c:pt idx="0">
                  <c:v>647500</c:v>
                </c:pt>
                <c:pt idx="1">
                  <c:v>687081.9</c:v>
                </c:pt>
                <c:pt idx="2">
                  <c:v>725018.7</c:v>
                </c:pt>
                <c:pt idx="3">
                  <c:v>749066.5</c:v>
                </c:pt>
                <c:pt idx="4">
                  <c:v>815266</c:v>
                </c:pt>
                <c:pt idx="5">
                  <c:v>871500.3</c:v>
                </c:pt>
                <c:pt idx="6">
                  <c:v>938300.8</c:v>
                </c:pt>
                <c:pt idx="7">
                  <c:v>1015216.9</c:v>
                </c:pt>
                <c:pt idx="8">
                  <c:v>1116221.4</c:v>
                </c:pt>
                <c:pt idx="9">
                  <c:v>1158675.5</c:v>
                </c:pt>
                <c:pt idx="10">
                  <c:v>1210926.6</c:v>
                </c:pt>
                <c:pt idx="11">
                  <c:v>1343074.6</c:v>
                </c:pt>
                <c:pt idx="12">
                  <c:v>1465016</c:v>
                </c:pt>
                <c:pt idx="13">
                  <c:v>1507291.7</c:v>
                </c:pt>
                <c:pt idx="14">
                  <c:v>1567612.8</c:v>
                </c:pt>
                <c:pt idx="15">
                  <c:v>1483558.5</c:v>
                </c:pt>
                <c:pt idx="16">
                  <c:v>1399931.2</c:v>
                </c:pt>
                <c:pt idx="17">
                  <c:v>1469761.6</c:v>
                </c:pt>
                <c:pt idx="18">
                  <c:v>1541312.3</c:v>
                </c:pt>
                <c:pt idx="19">
                  <c:v>1652329.4</c:v>
                </c:pt>
                <c:pt idx="20">
                  <c:v>1576435.9</c:v>
                </c:pt>
                <c:pt idx="21">
                  <c:v>1786815.4</c:v>
                </c:pt>
                <c:pt idx="22">
                  <c:v>1911363.2</c:v>
                </c:pt>
                <c:pt idx="23">
                  <c:v>2046461</c:v>
                </c:pt>
                <c:pt idx="24">
                  <c:v>2148507.6</c:v>
                </c:pt>
                <c:pt idx="25">
                  <c:v>2283073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GDP!A16</c:f>
              <c:strCache>
                <c:ptCount val="1"/>
                <c:pt idx="0">
                  <c:v>Mexico</c:v>
                </c:pt>
              </c:strCache>
            </c:strRef>
          </c:tx>
          <c:spPr>
            <a:solidFill>
              <a:srgbClr val="7D5FA0"/>
            </a:solidFill>
            <a:ln w="1260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GDP!$B$3:$AA$3</c:f>
              <c:strCach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strCache>
            </c:strRef>
          </c:cat>
          <c:val>
            <c:numRef>
              <c:f>GDP!$B$16:$AA$16</c:f>
              <c:numCache>
                <c:formatCode>#,##0</c:formatCode>
                <c:ptCount val="26"/>
                <c:pt idx="0">
                  <c:v>652740</c:v>
                </c:pt>
                <c:pt idx="1">
                  <c:v>699794</c:v>
                </c:pt>
                <c:pt idx="2">
                  <c:v>732592.4</c:v>
                </c:pt>
                <c:pt idx="3">
                  <c:v>760034.8</c:v>
                </c:pt>
                <c:pt idx="4">
                  <c:v>833174.5</c:v>
                </c:pt>
                <c:pt idx="5">
                  <c:v>905172.8</c:v>
                </c:pt>
                <c:pt idx="6">
                  <c:v>1002635.3</c:v>
                </c:pt>
                <c:pt idx="7">
                  <c:v>1063121.4</c:v>
                </c:pt>
                <c:pt idx="8">
                  <c:v>1150362.3</c:v>
                </c:pt>
                <c:pt idx="9">
                  <c:v>1173880.4</c:v>
                </c:pt>
                <c:pt idx="10">
                  <c:v>1279927.6</c:v>
                </c:pt>
                <c:pt idx="11">
                  <c:v>1369367.5</c:v>
                </c:pt>
                <c:pt idx="12">
                  <c:v>1487609.6</c:v>
                </c:pt>
                <c:pt idx="13">
                  <c:v>1587210.4</c:v>
                </c:pt>
                <c:pt idx="14">
                  <c:v>1705643.2</c:v>
                </c:pt>
                <c:pt idx="15">
                  <c:v>1703015.6</c:v>
                </c:pt>
                <c:pt idx="16">
                  <c:v>1763271.5</c:v>
                </c:pt>
                <c:pt idx="17">
                  <c:v>1882344</c:v>
                </c:pt>
                <c:pt idx="18">
                  <c:v>1953786.1</c:v>
                </c:pt>
                <c:pt idx="19">
                  <c:v>2028404.7</c:v>
                </c:pt>
                <c:pt idx="20">
                  <c:v>1870303.7</c:v>
                </c:pt>
                <c:pt idx="21">
                  <c:v>2130816.1</c:v>
                </c:pt>
                <c:pt idx="22">
                  <c:v>2309475.4</c:v>
                </c:pt>
                <c:pt idx="23">
                  <c:v>2366786.6</c:v>
                </c:pt>
                <c:pt idx="24">
                  <c:v>2405575.6</c:v>
                </c:pt>
                <c:pt idx="25">
                  <c:v>2391280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264926"/>
        <c:axId val="4676348"/>
      </c:lineChart>
      <c:catAx>
        <c:axId val="826492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Año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676348"/>
        <c:crosses val="autoZero"/>
        <c:auto val="1"/>
        <c:lblAlgn val="ctr"/>
        <c:lblOffset val="100"/>
        <c:noMultiLvlLbl val="0"/>
      </c:catAx>
      <c:valAx>
        <c:axId val="467634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26492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26</xdr:row>
      <xdr:rowOff>0</xdr:rowOff>
    </xdr:from>
    <xdr:to>
      <xdr:col>11</xdr:col>
      <xdr:colOff>39960</xdr:colOff>
      <xdr:row>42</xdr:row>
      <xdr:rowOff>11160</xdr:rowOff>
    </xdr:to>
    <xdr:graphicFrame>
      <xdr:nvGraphicFramePr>
        <xdr:cNvPr id="1" name="Chart 1"/>
        <xdr:cNvGraphicFramePr/>
      </xdr:nvGraphicFramePr>
      <xdr:xfrm>
        <a:off x="0" y="5172120"/>
        <a:ext cx="8639280" cy="305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_Metadata_4" displayName="t_Metadata_4" ref="A1:B10" headerRowCount="1" totalsRowCount="0" totalsRowShown="0">
  <autoFilter ref="A1:B10"/>
  <tableColumns count="2">
    <tableColumn id="1" name="Item"/>
    <tableColumn id="2" name="Valu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227"/>
    <pageSetUpPr fitToPage="true"/>
  </sheetPr>
  <dimension ref="A1:G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5"/>
    <col collapsed="false" customWidth="true" hidden="false" outlineLevel="0" max="4" min="3" style="1" width="12"/>
    <col collapsed="false" customWidth="true" hidden="false" outlineLevel="0" max="5" min="5" style="1" width="19"/>
    <col collapsed="false" customWidth="true" hidden="false" outlineLevel="0" max="7" min="6" style="1" width="14"/>
  </cols>
  <sheetData>
    <row r="1" customFormat="false" ht="18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27.7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</row>
    <row r="5" customFormat="false" ht="15" hidden="false" customHeight="true" outlineLevel="0" collapsed="false">
      <c r="A5" s="5" t="s">
        <v>9</v>
      </c>
      <c r="B5" s="6" t="n">
        <f aca="false">COUNTA(GDP!A4:A24)</f>
        <v>21</v>
      </c>
      <c r="C5" s="7" t="n">
        <f aca="false">GDP!B3</f>
        <v>2000</v>
      </c>
      <c r="D5" s="7" t="n">
        <f aca="false">GDP!AA3</f>
        <v>2025</v>
      </c>
      <c r="E5" s="8" t="n">
        <f aca="false">IFERROR(AVERAGE(GDP!AA4:AA24),"")</f>
        <v>373235.319047619</v>
      </c>
      <c r="F5" s="8" t="n">
        <f aca="false">IFERROR(MIN(GDP!B4:AA24),"")</f>
        <v>5100</v>
      </c>
      <c r="G5" s="8" t="n">
        <f aca="false">IFERROR(MAX(GDP!B4:AA24),"")</f>
        <v>216048200</v>
      </c>
    </row>
    <row r="6" customFormat="false" ht="15" hidden="false" customHeight="true" outlineLevel="0" collapsed="false">
      <c r="A6" s="5" t="s">
        <v>10</v>
      </c>
      <c r="B6" s="6" t="n">
        <f aca="false">COUNTA(GDP_per_capita!A3:A23)</f>
        <v>21</v>
      </c>
      <c r="C6" s="7" t="n">
        <f aca="false">GDP_per_capita!B2</f>
        <v>2000</v>
      </c>
      <c r="D6" s="7" t="n">
        <f aca="false">GDP_per_capita!AA2</f>
        <v>2025</v>
      </c>
      <c r="E6" s="8" t="n">
        <f aca="false">IFERROR(AVERAGE(GDP_per_capita!AA3:AA23),"")</f>
        <v>12185.7619047619</v>
      </c>
      <c r="F6" s="8" t="n">
        <f aca="false">IFERROR(MIN(GDP_per_capita!B3:AA23),"")</f>
        <v>1000</v>
      </c>
      <c r="G6" s="8" t="n">
        <f aca="false">IFERROR(MAX(GDP_per_capita!B3:AA23),"")</f>
        <v>24085</v>
      </c>
    </row>
    <row r="7" customFormat="false" ht="15" hidden="false" customHeight="true" outlineLevel="0" collapsed="false">
      <c r="A7" s="5" t="s">
        <v>11</v>
      </c>
      <c r="B7" s="6" t="n">
        <f aca="false">COUNTA(Growth!A4:A24)</f>
        <v>21</v>
      </c>
      <c r="C7" s="7" t="n">
        <f aca="false">Growth!B3</f>
        <v>2000</v>
      </c>
      <c r="D7" s="7" t="n">
        <f aca="false">Growth!AA3</f>
        <v>2025</v>
      </c>
      <c r="E7" s="8" t="n">
        <f aca="false">IFERROR(AVERAGE(Growth!AA4:AA24),"")</f>
        <v>2.62125</v>
      </c>
      <c r="F7" s="8" t="n">
        <f aca="false">IFERROR(MIN(Growth!B4:AA24),"")</f>
        <v>-29.38</v>
      </c>
      <c r="G7" s="8" t="n">
        <f aca="false">IFERROR(MAX(Growth!B4:AA24),"")</f>
        <v>18.95</v>
      </c>
    </row>
    <row r="8" customFormat="false" ht="15" hidden="false" customHeight="true" outlineLevel="0" collapsed="false">
      <c r="A8" s="5" t="s">
        <v>12</v>
      </c>
      <c r="B8" s="6" t="n">
        <f aca="false">COUNTA(Exchange_Rate!A4:A24)</f>
        <v>21</v>
      </c>
      <c r="C8" s="7" t="n">
        <f aca="false">Exchange_Rate!B3</f>
        <v>2000</v>
      </c>
      <c r="D8" s="7" t="n">
        <f aca="false">Exchange_Rate!AA3</f>
        <v>2025</v>
      </c>
      <c r="E8" s="8" t="n">
        <f aca="false">IFERROR(AVERAGE(Exchange_Rate!AA4:AA24),"")</f>
        <v>6533.5530952381</v>
      </c>
      <c r="F8" s="8" t="n">
        <f aca="false">IFERROR(MIN(Exchange_Rate!B4:AA24),"")</f>
        <v>0.7</v>
      </c>
      <c r="G8" s="8" t="n">
        <f aca="false">IFERROR(MAX(Exchange_Rate!B4:AA24),"")</f>
        <v>122336.797</v>
      </c>
    </row>
    <row r="10" customFormat="false" ht="15" hidden="false" customHeight="true" outlineLevel="0" collapsed="false">
      <c r="A10" s="9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36BAA"/>
    <pageSetUpPr fitToPage="true"/>
  </sheetPr>
  <dimension ref="A1:AA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7" min="2" style="1" width="10"/>
  </cols>
  <sheetData>
    <row r="1" customFormat="false" ht="21.75" hidden="false" customHeight="true" outlineLevel="0" collapsed="false">
      <c r="A1" s="10" t="s">
        <v>14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</row>
    <row r="2" customFormat="false" ht="15" hidden="false" customHeight="true" outlineLevel="0" collapsed="false">
      <c r="A2" s="11" t="s">
        <v>15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customFormat="false" ht="25.5" hidden="false" customHeight="true" outlineLevel="0" collapsed="false">
      <c r="A3" s="12" t="s">
        <v>16</v>
      </c>
      <c r="B3" s="13" t="n">
        <v>2000</v>
      </c>
      <c r="C3" s="13" t="n">
        <v>2001</v>
      </c>
      <c r="D3" s="13" t="n">
        <v>2002</v>
      </c>
      <c r="E3" s="13" t="n">
        <v>2003</v>
      </c>
      <c r="F3" s="13" t="n">
        <v>2004</v>
      </c>
      <c r="G3" s="13" t="n">
        <v>2005</v>
      </c>
      <c r="H3" s="13" t="n">
        <v>2006</v>
      </c>
      <c r="I3" s="13" t="n">
        <v>2007</v>
      </c>
      <c r="J3" s="13" t="n">
        <v>2008</v>
      </c>
      <c r="K3" s="13" t="n">
        <v>2009</v>
      </c>
      <c r="L3" s="13" t="n">
        <v>2010</v>
      </c>
      <c r="M3" s="13" t="n">
        <v>2011</v>
      </c>
      <c r="N3" s="13" t="n">
        <v>2012</v>
      </c>
      <c r="O3" s="13" t="n">
        <v>2013</v>
      </c>
      <c r="P3" s="13" t="n">
        <v>2014</v>
      </c>
      <c r="Q3" s="13" t="n">
        <v>2015</v>
      </c>
      <c r="R3" s="13" t="n">
        <v>2016</v>
      </c>
      <c r="S3" s="13" t="n">
        <v>2017</v>
      </c>
      <c r="T3" s="13" t="n">
        <v>2018</v>
      </c>
      <c r="U3" s="13" t="n">
        <v>2019</v>
      </c>
      <c r="V3" s="13" t="n">
        <v>2020</v>
      </c>
      <c r="W3" s="13" t="n">
        <v>2021</v>
      </c>
      <c r="X3" s="13" t="n">
        <v>2022</v>
      </c>
      <c r="Y3" s="13" t="n">
        <v>2023</v>
      </c>
      <c r="Z3" s="13" t="n">
        <v>2024</v>
      </c>
      <c r="AA3" s="13" t="n">
        <v>2025</v>
      </c>
    </row>
    <row r="4" customFormat="false" ht="15" hidden="false" customHeight="true" outlineLevel="0" collapsed="false">
      <c r="A4" s="14" t="s">
        <v>17</v>
      </c>
      <c r="B4" s="15" t="n">
        <v>78540</v>
      </c>
      <c r="C4" s="15" t="n">
        <v>81745.4</v>
      </c>
      <c r="D4" s="15" t="n">
        <v>86353.2</v>
      </c>
      <c r="E4" s="15" t="n">
        <v>94832</v>
      </c>
      <c r="F4" s="15" t="n">
        <v>107072.9</v>
      </c>
      <c r="G4" s="15" t="n">
        <v>119132.6</v>
      </c>
      <c r="H4" s="15" t="n">
        <v>136279.8</v>
      </c>
      <c r="I4" s="15" t="n">
        <v>152229.3</v>
      </c>
      <c r="J4" s="15" t="n">
        <v>169955.6</v>
      </c>
      <c r="K4" s="15" t="n">
        <v>184941.4</v>
      </c>
      <c r="L4" s="15" t="n">
        <v>209046.3</v>
      </c>
      <c r="M4" s="15" t="n">
        <v>228515.2</v>
      </c>
      <c r="N4" s="15" t="n">
        <v>244390.8</v>
      </c>
      <c r="O4" s="15" t="n">
        <v>265309.7</v>
      </c>
      <c r="P4" s="15" t="n">
        <v>277520</v>
      </c>
      <c r="Q4" s="15" t="n">
        <v>280994.7</v>
      </c>
      <c r="R4" s="15" t="n">
        <v>282344</v>
      </c>
      <c r="S4" s="15" t="n">
        <v>294569.7</v>
      </c>
      <c r="T4" s="15" t="n">
        <v>316828.6</v>
      </c>
      <c r="U4" s="15" t="n">
        <v>325288.7</v>
      </c>
      <c r="V4" s="15" t="n">
        <v>298853.5</v>
      </c>
      <c r="W4" s="15" t="n">
        <v>345349.4</v>
      </c>
      <c r="X4" s="15" t="n">
        <v>358033.8</v>
      </c>
      <c r="Y4" s="15" t="n">
        <v>377525.6</v>
      </c>
      <c r="Z4" s="15" t="n">
        <v>400255.7</v>
      </c>
      <c r="AA4" s="15" t="n">
        <v>419302.5</v>
      </c>
    </row>
    <row r="5" customFormat="false" ht="15" hidden="false" customHeight="true" outlineLevel="0" collapsed="false">
      <c r="A5" s="16" t="s">
        <v>18</v>
      </c>
      <c r="B5" s="17" t="n">
        <v>284900</v>
      </c>
      <c r="C5" s="17" t="n">
        <v>283686.5</v>
      </c>
      <c r="D5" s="17" t="n">
        <v>266053.4</v>
      </c>
      <c r="E5" s="17" t="n">
        <v>306094.9</v>
      </c>
      <c r="F5" s="17" t="n">
        <v>326843.4</v>
      </c>
      <c r="G5" s="17" t="n">
        <v>339950.6</v>
      </c>
      <c r="H5" s="17" t="n">
        <v>364936</v>
      </c>
      <c r="I5" s="17" t="n">
        <v>393876.8</v>
      </c>
      <c r="J5" s="17" t="n">
        <v>417071.6</v>
      </c>
      <c r="K5" s="17" t="n">
        <v>435017.2</v>
      </c>
      <c r="L5" s="17" t="n">
        <v>502655</v>
      </c>
      <c r="M5" s="17" t="n">
        <v>529306.1</v>
      </c>
      <c r="N5" s="17" t="n">
        <v>562810.4</v>
      </c>
      <c r="O5" s="17" t="n">
        <v>614124.5</v>
      </c>
      <c r="P5" s="17" t="n">
        <v>652209.5</v>
      </c>
      <c r="Q5" s="17" t="n">
        <v>678481.7</v>
      </c>
      <c r="R5" s="17" t="n">
        <v>672463.3</v>
      </c>
      <c r="S5" s="17" t="n">
        <v>709326.6</v>
      </c>
      <c r="T5" s="17" t="n">
        <v>713037.3</v>
      </c>
      <c r="U5" s="17" t="n">
        <v>638601</v>
      </c>
      <c r="V5" s="17" t="n">
        <v>589751.7</v>
      </c>
      <c r="W5" s="17" t="n">
        <v>649214.2</v>
      </c>
      <c r="X5" s="17" t="n">
        <v>668049.8</v>
      </c>
      <c r="Y5" s="17" t="n">
        <v>654846</v>
      </c>
      <c r="Z5" s="17" t="n">
        <v>665273.6</v>
      </c>
      <c r="AA5" s="17" t="n">
        <v>646411.8</v>
      </c>
    </row>
    <row r="6" customFormat="false" ht="15" hidden="false" customHeight="true" outlineLevel="0" collapsed="false">
      <c r="A6" s="14" t="s">
        <v>19</v>
      </c>
      <c r="B6" s="18"/>
      <c r="C6" s="15" t="n">
        <v>9380.2</v>
      </c>
      <c r="D6" s="15" t="n">
        <v>10031</v>
      </c>
      <c r="E6" s="15" t="n">
        <v>10884.7</v>
      </c>
      <c r="F6" s="15" t="n">
        <v>12484.6</v>
      </c>
      <c r="G6" s="15" t="n">
        <v>14368.5</v>
      </c>
      <c r="H6" s="15" t="n">
        <v>16197.8</v>
      </c>
      <c r="I6" s="15" t="n">
        <v>18073.9</v>
      </c>
      <c r="J6" s="15" t="n">
        <v>20241.9</v>
      </c>
      <c r="K6" s="15" t="n">
        <v>21476.5</v>
      </c>
      <c r="L6" s="15" t="n">
        <v>24183.3</v>
      </c>
      <c r="M6" s="15" t="n">
        <v>27159.7</v>
      </c>
      <c r="N6" s="15" t="n">
        <v>29210.5</v>
      </c>
      <c r="O6" s="15" t="n">
        <v>32181.1</v>
      </c>
      <c r="P6" s="15" t="n">
        <v>34379.8</v>
      </c>
      <c r="Q6" s="15" t="n">
        <v>33971.1</v>
      </c>
      <c r="R6" s="15" t="n">
        <v>34388.3</v>
      </c>
      <c r="S6" s="15" t="n">
        <v>36922.2</v>
      </c>
      <c r="T6" s="15" t="n">
        <v>38894.7</v>
      </c>
      <c r="U6" s="15" t="n">
        <v>40994.9</v>
      </c>
      <c r="V6" s="15" t="n">
        <v>39767</v>
      </c>
      <c r="W6" s="15" t="n">
        <v>46831.2</v>
      </c>
      <c r="X6" s="15" t="n">
        <v>51309.6</v>
      </c>
      <c r="Y6" s="15" t="n">
        <v>54470.2</v>
      </c>
      <c r="Z6" s="15" t="n">
        <v>56905.5</v>
      </c>
      <c r="AA6" s="15" t="n">
        <v>60281.5</v>
      </c>
    </row>
    <row r="7" customFormat="false" ht="15" hidden="false" customHeight="true" outlineLevel="0" collapsed="false">
      <c r="A7" s="16" t="s">
        <v>20</v>
      </c>
      <c r="B7" s="17" t="n">
        <v>647500</v>
      </c>
      <c r="C7" s="17" t="n">
        <v>687081.9</v>
      </c>
      <c r="D7" s="17" t="n">
        <v>725018.7</v>
      </c>
      <c r="E7" s="17" t="n">
        <v>749066.5</v>
      </c>
      <c r="F7" s="17" t="n">
        <v>815266</v>
      </c>
      <c r="G7" s="17" t="n">
        <v>871500.3</v>
      </c>
      <c r="H7" s="17" t="n">
        <v>938300.8</v>
      </c>
      <c r="I7" s="17" t="n">
        <v>1015216.9</v>
      </c>
      <c r="J7" s="17" t="n">
        <v>1116221.4</v>
      </c>
      <c r="K7" s="17" t="n">
        <v>1158675.5</v>
      </c>
      <c r="L7" s="17" t="n">
        <v>1210926.6</v>
      </c>
      <c r="M7" s="17" t="n">
        <v>1343074.6</v>
      </c>
      <c r="N7" s="17" t="n">
        <v>1465016</v>
      </c>
      <c r="O7" s="17" t="n">
        <v>1507291.7</v>
      </c>
      <c r="P7" s="17" t="n">
        <v>1567612.8</v>
      </c>
      <c r="Q7" s="17" t="n">
        <v>1483558.5</v>
      </c>
      <c r="R7" s="17" t="n">
        <v>1399931.2</v>
      </c>
      <c r="S7" s="17" t="n">
        <v>1469761.6</v>
      </c>
      <c r="T7" s="17" t="n">
        <v>1541312.3</v>
      </c>
      <c r="U7" s="17" t="n">
        <v>1652329.4</v>
      </c>
      <c r="V7" s="17" t="n">
        <v>1576435.9</v>
      </c>
      <c r="W7" s="17" t="n">
        <v>1786815.4</v>
      </c>
      <c r="X7" s="17" t="n">
        <v>1911363.2</v>
      </c>
      <c r="Y7" s="17" t="n">
        <v>2046461</v>
      </c>
      <c r="Z7" s="17" t="n">
        <v>2148507.6</v>
      </c>
      <c r="AA7" s="17" t="n">
        <v>2283073</v>
      </c>
    </row>
    <row r="8" customFormat="false" ht="15" hidden="false" customHeight="true" outlineLevel="0" collapsed="false">
      <c r="A8" s="14" t="s">
        <v>21</v>
      </c>
      <c r="B8" s="15" t="n">
        <v>99500</v>
      </c>
      <c r="C8" s="15" t="n">
        <v>106475.6</v>
      </c>
      <c r="D8" s="15" t="n">
        <v>112945</v>
      </c>
      <c r="E8" s="15" t="n">
        <v>121589.4</v>
      </c>
      <c r="F8" s="15" t="n">
        <v>134760.1</v>
      </c>
      <c r="G8" s="15" t="n">
        <v>150860.3</v>
      </c>
      <c r="H8" s="15" t="n">
        <v>165608.2</v>
      </c>
      <c r="I8" s="15" t="n">
        <v>182946.9</v>
      </c>
      <c r="J8" s="15" t="n">
        <v>203187.7</v>
      </c>
      <c r="K8" s="15" t="n">
        <v>215240.6</v>
      </c>
      <c r="L8" s="15" t="n">
        <v>241949.4</v>
      </c>
      <c r="M8" s="15" t="n">
        <v>267517.1</v>
      </c>
      <c r="N8" s="15" t="n">
        <v>282698.2</v>
      </c>
      <c r="O8" s="15" t="n">
        <v>299508.5</v>
      </c>
      <c r="P8" s="15" t="n">
        <v>317793.5</v>
      </c>
      <c r="Q8" s="15" t="n">
        <v>321941.8</v>
      </c>
      <c r="R8" s="15" t="n">
        <v>324863.2</v>
      </c>
      <c r="S8" s="15" t="n">
        <v>344465.7</v>
      </c>
      <c r="T8" s="15" t="n">
        <v>367934.4</v>
      </c>
      <c r="U8" s="15" t="n">
        <v>392399.1</v>
      </c>
      <c r="V8" s="15" t="n">
        <v>382400.4</v>
      </c>
      <c r="W8" s="15" t="n">
        <v>435225.2</v>
      </c>
      <c r="X8" s="15" t="n">
        <v>465623.6</v>
      </c>
      <c r="Y8" s="15" t="n">
        <v>505003.9</v>
      </c>
      <c r="Z8" s="15" t="n">
        <v>546151.6</v>
      </c>
      <c r="AA8" s="15" t="n">
        <v>579756.6</v>
      </c>
    </row>
    <row r="9" customFormat="false" ht="15" hidden="false" customHeight="true" outlineLevel="0" collapsed="false">
      <c r="A9" s="16" t="s">
        <v>22</v>
      </c>
      <c r="B9" s="17" t="n">
        <v>31080</v>
      </c>
      <c r="C9" s="17" t="n">
        <v>32436.9</v>
      </c>
      <c r="D9" s="17" t="n">
        <v>34035.2</v>
      </c>
      <c r="E9" s="17" t="n">
        <v>35796</v>
      </c>
      <c r="F9" s="17" t="n">
        <v>38383.3</v>
      </c>
      <c r="G9" s="17" t="n">
        <v>40212.7</v>
      </c>
      <c r="H9" s="17" t="n">
        <v>42433.7</v>
      </c>
      <c r="I9" s="17" t="n">
        <v>44471.1</v>
      </c>
      <c r="J9" s="17" t="n">
        <v>47028.8</v>
      </c>
      <c r="K9" s="17" t="n">
        <v>48274.9</v>
      </c>
      <c r="L9" s="17" t="n">
        <v>51820.9</v>
      </c>
      <c r="M9" s="17" t="n">
        <v>54549.6</v>
      </c>
      <c r="N9" s="17" t="n">
        <v>56938.9</v>
      </c>
      <c r="O9" s="17" t="n">
        <v>58555.6</v>
      </c>
      <c r="P9" s="17" t="n">
        <v>62729.2</v>
      </c>
      <c r="Q9" s="17" t="n">
        <v>63007.5</v>
      </c>
      <c r="R9" s="17" t="n">
        <v>65514</v>
      </c>
      <c r="S9" s="17" t="n">
        <v>67243.5</v>
      </c>
      <c r="T9" s="17" t="n">
        <v>71330.9</v>
      </c>
      <c r="U9" s="17" t="n">
        <v>71985.2</v>
      </c>
      <c r="V9" s="17" t="n">
        <v>66441.6</v>
      </c>
      <c r="W9" s="17" t="n">
        <v>71194.1</v>
      </c>
      <c r="X9" s="17" t="n">
        <v>73134.6</v>
      </c>
      <c r="Y9" s="17" t="n">
        <v>76677.3</v>
      </c>
      <c r="Z9" s="17" t="n">
        <v>79932.9</v>
      </c>
      <c r="AA9" s="17" t="n">
        <v>81152.6</v>
      </c>
    </row>
    <row r="10" customFormat="false" ht="15" hidden="false" customHeight="true" outlineLevel="0" collapsed="false">
      <c r="A10" s="14" t="s">
        <v>23</v>
      </c>
      <c r="B10" s="15" t="n">
        <v>24940</v>
      </c>
      <c r="C10" s="15" t="n">
        <v>26970.5</v>
      </c>
      <c r="D10" s="15" t="n">
        <v>29081.3</v>
      </c>
      <c r="E10" s="15" t="n">
        <v>32480.3</v>
      </c>
      <c r="F10" s="15" t="n">
        <v>36365.9</v>
      </c>
      <c r="G10" s="15" t="n">
        <v>39864.3</v>
      </c>
      <c r="H10" s="15" t="n">
        <v>44346.5</v>
      </c>
      <c r="I10" s="15" t="n">
        <v>49173.7</v>
      </c>
      <c r="J10" s="15" t="n">
        <v>55745.3</v>
      </c>
      <c r="K10" s="15" t="n">
        <v>59192</v>
      </c>
      <c r="L10" s="15" t="n">
        <v>66252.3</v>
      </c>
      <c r="M10" s="15" t="n">
        <v>72987.9</v>
      </c>
      <c r="N10" s="15" t="n">
        <v>77932.5</v>
      </c>
      <c r="O10" s="15" t="n">
        <v>87013.5</v>
      </c>
      <c r="P10" s="15" t="n">
        <v>95984.8</v>
      </c>
      <c r="Q10" s="15" t="n">
        <v>101572.2</v>
      </c>
      <c r="R10" s="15" t="n">
        <v>107213.9</v>
      </c>
      <c r="S10" s="15" t="n">
        <v>117499</v>
      </c>
      <c r="T10" s="15" t="n">
        <v>125516</v>
      </c>
      <c r="U10" s="15" t="n">
        <v>137869.2</v>
      </c>
      <c r="V10" s="15" t="n">
        <v>128619.7</v>
      </c>
      <c r="W10" s="15" t="n">
        <v>143063.6</v>
      </c>
      <c r="X10" s="15" t="n">
        <v>157310.3</v>
      </c>
      <c r="Y10" s="15" t="n">
        <v>168201.7</v>
      </c>
      <c r="Z10" s="15" t="n">
        <v>182506.2</v>
      </c>
      <c r="AA10" s="15" t="n">
        <v>192020.1</v>
      </c>
    </row>
    <row r="11" customFormat="false" ht="15" hidden="false" customHeight="true" outlineLevel="0" collapsed="false">
      <c r="A11" s="16" t="s">
        <v>24</v>
      </c>
      <c r="B11" s="17" t="n">
        <v>18270</v>
      </c>
      <c r="C11" s="17" t="n">
        <v>19614.4</v>
      </c>
      <c r="D11" s="17" t="n">
        <v>20877.8</v>
      </c>
      <c r="E11" s="17" t="n">
        <v>22080.6</v>
      </c>
      <c r="F11" s="17" t="n">
        <v>25166.5</v>
      </c>
      <c r="G11" s="17" t="n">
        <v>28218.4</v>
      </c>
      <c r="H11" s="17" t="n">
        <v>32040.8</v>
      </c>
      <c r="I11" s="17" t="n">
        <v>34442.2</v>
      </c>
      <c r="J11" s="17" t="n">
        <v>38640.7</v>
      </c>
      <c r="K11" s="17" t="n">
        <v>41039.7</v>
      </c>
      <c r="L11" s="17" t="n">
        <v>46762.3</v>
      </c>
      <c r="M11" s="17" t="n">
        <v>53229.3</v>
      </c>
      <c r="N11" s="17" t="n">
        <v>57672.4</v>
      </c>
      <c r="O11" s="17" t="n">
        <v>60057.2</v>
      </c>
      <c r="P11" s="17" t="n">
        <v>63387.9</v>
      </c>
      <c r="Q11" s="17" t="n">
        <v>63665</v>
      </c>
      <c r="R11" s="17" t="n">
        <v>61963.6</v>
      </c>
      <c r="S11" s="17" t="n">
        <v>65146.9</v>
      </c>
      <c r="T11" s="17" t="n">
        <v>69803.9</v>
      </c>
      <c r="U11" s="17" t="n">
        <v>72558.1</v>
      </c>
      <c r="V11" s="17" t="n">
        <v>68445.8</v>
      </c>
      <c r="W11" s="17" t="n">
        <v>74131.1</v>
      </c>
      <c r="X11" s="17" t="n">
        <v>83234.5</v>
      </c>
      <c r="Y11" s="17" t="n">
        <v>88419.8</v>
      </c>
      <c r="Z11" s="17" t="n">
        <v>91906.2</v>
      </c>
      <c r="AA11" s="17" t="n">
        <v>93461.1</v>
      </c>
    </row>
    <row r="12" customFormat="false" ht="15" hidden="false" customHeight="true" outlineLevel="0" collapsed="false">
      <c r="A12" s="14" t="s">
        <v>25</v>
      </c>
      <c r="B12" s="15" t="n">
        <v>12980</v>
      </c>
      <c r="C12" s="15" t="n">
        <v>13607.8</v>
      </c>
      <c r="D12" s="15" t="n">
        <v>14065.1</v>
      </c>
      <c r="E12" s="15" t="n">
        <v>14567.2</v>
      </c>
      <c r="F12" s="15" t="n">
        <v>15490.8</v>
      </c>
      <c r="G12" s="15" t="n">
        <v>16569.5</v>
      </c>
      <c r="H12" s="15" t="n">
        <v>17651.5</v>
      </c>
      <c r="I12" s="15" t="n">
        <v>18733</v>
      </c>
      <c r="J12" s="15" t="n">
        <v>19927</v>
      </c>
      <c r="K12" s="15" t="n">
        <v>20425.3</v>
      </c>
      <c r="L12" s="15" t="n">
        <v>21999.1</v>
      </c>
      <c r="M12" s="15" t="n">
        <v>23178.4</v>
      </c>
      <c r="N12" s="15" t="n">
        <v>23909.3</v>
      </c>
      <c r="O12" s="15" t="n">
        <v>24701.5</v>
      </c>
      <c r="P12" s="15" t="n">
        <v>26033.7</v>
      </c>
      <c r="Q12" s="15" t="n">
        <v>26947.9</v>
      </c>
      <c r="R12" s="15" t="n">
        <v>28040</v>
      </c>
      <c r="S12" s="15" t="n">
        <v>29488.8</v>
      </c>
      <c r="T12" s="15" t="n">
        <v>31398.8</v>
      </c>
      <c r="U12" s="15" t="n">
        <v>33113.1</v>
      </c>
      <c r="V12" s="15" t="n">
        <v>30679.2</v>
      </c>
      <c r="W12" s="15" t="n">
        <v>34431.2</v>
      </c>
      <c r="X12" s="15" t="n">
        <v>37043.5</v>
      </c>
      <c r="Y12" s="15" t="n">
        <v>38677</v>
      </c>
      <c r="Z12" s="15" t="n">
        <v>40649.2</v>
      </c>
      <c r="AA12" s="15" t="n">
        <v>43570.7</v>
      </c>
    </row>
    <row r="13" customFormat="false" ht="15" hidden="false" customHeight="true" outlineLevel="0" collapsed="false">
      <c r="A13" s="16" t="s">
        <v>26</v>
      </c>
      <c r="B13" s="17" t="n">
        <v>19720</v>
      </c>
      <c r="C13" s="17" t="n">
        <v>21502</v>
      </c>
      <c r="D13" s="17" t="n">
        <v>23071</v>
      </c>
      <c r="E13" s="17" t="n">
        <v>24790.1</v>
      </c>
      <c r="F13" s="17" t="n">
        <v>27314.1</v>
      </c>
      <c r="G13" s="17" t="n">
        <v>30520.4</v>
      </c>
      <c r="H13" s="17" t="n">
        <v>33635.8</v>
      </c>
      <c r="I13" s="17" t="n">
        <v>36987.1</v>
      </c>
      <c r="J13" s="17" t="n">
        <v>40225.8</v>
      </c>
      <c r="K13" s="17" t="n">
        <v>42395.2</v>
      </c>
      <c r="L13" s="17" t="n">
        <v>47080.1</v>
      </c>
      <c r="M13" s="17" t="n">
        <v>51190.5</v>
      </c>
      <c r="N13" s="17" t="n">
        <v>54751.3</v>
      </c>
      <c r="O13" s="17" t="n">
        <v>59132.7</v>
      </c>
      <c r="P13" s="17" t="n">
        <v>63290.8</v>
      </c>
      <c r="Q13" s="17" t="n">
        <v>67413.5</v>
      </c>
      <c r="R13" s="17" t="n">
        <v>69991.3</v>
      </c>
      <c r="S13" s="17" t="n">
        <v>75104.5</v>
      </c>
      <c r="T13" s="17" t="n">
        <v>82889.4</v>
      </c>
      <c r="U13" s="17" t="n">
        <v>88503.3</v>
      </c>
      <c r="V13" s="17" t="n">
        <v>84710.1</v>
      </c>
      <c r="W13" s="17" t="n">
        <v>95612.1</v>
      </c>
      <c r="X13" s="17" t="n">
        <v>105460.8</v>
      </c>
      <c r="Y13" s="17" t="n">
        <v>113887.8</v>
      </c>
      <c r="Z13" s="17" t="n">
        <v>119709.3</v>
      </c>
      <c r="AA13" s="17" t="n">
        <v>129990.8</v>
      </c>
    </row>
    <row r="14" customFormat="false" ht="15" hidden="false" customHeight="true" outlineLevel="0" collapsed="false">
      <c r="A14" s="14" t="s">
        <v>27</v>
      </c>
      <c r="B14" s="15" t="n">
        <v>8118</v>
      </c>
      <c r="C14" s="15" t="n">
        <v>8731.7</v>
      </c>
      <c r="D14" s="15" t="n">
        <v>9341.9</v>
      </c>
      <c r="E14" s="15" t="n">
        <v>9864.1</v>
      </c>
      <c r="F14" s="15" t="n">
        <v>10891.2</v>
      </c>
      <c r="G14" s="15" t="n">
        <v>12078.4</v>
      </c>
      <c r="H14" s="15" t="n">
        <v>13232.2</v>
      </c>
      <c r="I14" s="15" t="n">
        <v>14512.9</v>
      </c>
      <c r="J14" s="15" t="n">
        <v>15995.3</v>
      </c>
      <c r="K14" s="15" t="n">
        <v>16904.9</v>
      </c>
      <c r="L14" s="15" t="n">
        <v>18794.7</v>
      </c>
      <c r="M14" s="15" t="n">
        <v>19904</v>
      </c>
      <c r="N14" s="15" t="n">
        <v>21209</v>
      </c>
      <c r="O14" s="15" t="n">
        <v>22704.6</v>
      </c>
      <c r="P14" s="15" t="n">
        <v>24848.2</v>
      </c>
      <c r="Q14" s="15" t="n">
        <v>26119.4</v>
      </c>
      <c r="R14" s="15" t="n">
        <v>26756.2</v>
      </c>
      <c r="S14" s="15" t="n">
        <v>29033.7</v>
      </c>
      <c r="T14" s="15" t="n">
        <v>30155.7</v>
      </c>
      <c r="U14" s="15" t="n">
        <v>31192.4</v>
      </c>
      <c r="V14" s="15" t="n">
        <v>29517.9</v>
      </c>
      <c r="W14" s="15" t="n">
        <v>33905.4</v>
      </c>
      <c r="X14" s="15" t="n">
        <v>37905.6</v>
      </c>
      <c r="Y14" s="15" t="n">
        <v>41458.1</v>
      </c>
      <c r="Z14" s="15" t="n">
        <v>45263.2</v>
      </c>
      <c r="AA14" s="15" t="n">
        <v>47832.2</v>
      </c>
    </row>
    <row r="15" customFormat="false" ht="15" hidden="false" customHeight="true" outlineLevel="0" collapsed="false">
      <c r="A15" s="16" t="s">
        <v>28</v>
      </c>
      <c r="B15" s="17" t="n">
        <v>8840</v>
      </c>
      <c r="C15" s="17" t="n">
        <v>9010.9</v>
      </c>
      <c r="D15" s="17" t="n">
        <v>9419</v>
      </c>
      <c r="E15" s="17" t="n">
        <v>9513.5</v>
      </c>
      <c r="F15" s="17" t="n">
        <v>9816.6</v>
      </c>
      <c r="G15" s="17" t="n">
        <v>10262.9</v>
      </c>
      <c r="H15" s="17" t="n">
        <v>11284.6</v>
      </c>
      <c r="I15" s="17" t="n">
        <v>12068.6</v>
      </c>
      <c r="J15" s="17" t="n">
        <v>12787.3</v>
      </c>
      <c r="K15" s="17" t="n">
        <v>12950</v>
      </c>
      <c r="L15" s="17" t="n">
        <v>13909.4</v>
      </c>
      <c r="M15" s="17" t="n">
        <v>14529.3</v>
      </c>
      <c r="N15" s="17" t="n">
        <v>15276.1</v>
      </c>
      <c r="O15" s="17" t="n">
        <v>15875.7</v>
      </c>
      <c r="P15" s="17" t="n">
        <v>16296.1</v>
      </c>
      <c r="Q15" s="17" t="n">
        <v>16612</v>
      </c>
      <c r="R15" s="17" t="n">
        <v>17167.8</v>
      </c>
      <c r="S15" s="17" t="n">
        <v>18454.5</v>
      </c>
      <c r="T15" s="17" t="n">
        <v>19143.2</v>
      </c>
      <c r="U15" s="17" t="n">
        <v>19350.4</v>
      </c>
      <c r="V15" s="17" t="n">
        <v>17050.1</v>
      </c>
      <c r="W15" s="17" t="n">
        <v>18769.9</v>
      </c>
      <c r="X15" s="17" t="n">
        <v>19610.2</v>
      </c>
      <c r="Y15" s="17" t="n">
        <v>20586.5</v>
      </c>
      <c r="Z15" s="17" t="n">
        <v>21124.9</v>
      </c>
      <c r="AA15" s="17" t="n">
        <v>21846.3</v>
      </c>
    </row>
    <row r="16" customFormat="false" ht="15" hidden="false" customHeight="true" outlineLevel="0" collapsed="false">
      <c r="A16" s="14" t="s">
        <v>29</v>
      </c>
      <c r="B16" s="15" t="n">
        <v>652740</v>
      </c>
      <c r="C16" s="15" t="n">
        <v>699794</v>
      </c>
      <c r="D16" s="15" t="n">
        <v>732592.4</v>
      </c>
      <c r="E16" s="15" t="n">
        <v>760034.8</v>
      </c>
      <c r="F16" s="15" t="n">
        <v>833174.5</v>
      </c>
      <c r="G16" s="15" t="n">
        <v>905172.8</v>
      </c>
      <c r="H16" s="15" t="n">
        <v>1002635.3</v>
      </c>
      <c r="I16" s="15" t="n">
        <v>1063121.4</v>
      </c>
      <c r="J16" s="15" t="n">
        <v>1150362.3</v>
      </c>
      <c r="K16" s="15" t="n">
        <v>1173880.4</v>
      </c>
      <c r="L16" s="15" t="n">
        <v>1279927.6</v>
      </c>
      <c r="M16" s="15" t="n">
        <v>1369367.5</v>
      </c>
      <c r="N16" s="15" t="n">
        <v>1487609.6</v>
      </c>
      <c r="O16" s="15" t="n">
        <v>1587210.4</v>
      </c>
      <c r="P16" s="15" t="n">
        <v>1705643.2</v>
      </c>
      <c r="Q16" s="15" t="n">
        <v>1703015.6</v>
      </c>
      <c r="R16" s="15" t="n">
        <v>1763271.5</v>
      </c>
      <c r="S16" s="15" t="n">
        <v>1882344</v>
      </c>
      <c r="T16" s="15" t="n">
        <v>1953786.1</v>
      </c>
      <c r="U16" s="15" t="n">
        <v>2028404.7</v>
      </c>
      <c r="V16" s="15" t="n">
        <v>1870303.7</v>
      </c>
      <c r="W16" s="15" t="n">
        <v>2130816.1</v>
      </c>
      <c r="X16" s="15" t="n">
        <v>2309475.4</v>
      </c>
      <c r="Y16" s="15" t="n">
        <v>2366786.6</v>
      </c>
      <c r="Z16" s="15" t="n">
        <v>2405575.6</v>
      </c>
      <c r="AA16" s="15" t="n">
        <v>2391280</v>
      </c>
    </row>
    <row r="17" customFormat="false" ht="15" hidden="false" customHeight="true" outlineLevel="0" collapsed="false">
      <c r="A17" s="16" t="s">
        <v>30</v>
      </c>
      <c r="B17" s="17" t="n">
        <v>5100</v>
      </c>
      <c r="C17" s="17" t="n">
        <v>5575.6</v>
      </c>
      <c r="D17" s="17" t="n">
        <v>5784.8</v>
      </c>
      <c r="E17" s="17" t="n">
        <v>6347.7</v>
      </c>
      <c r="F17" s="17" t="n">
        <v>6772</v>
      </c>
      <c r="G17" s="17" t="n">
        <v>7544.4</v>
      </c>
      <c r="H17" s="17" t="n">
        <v>8447</v>
      </c>
      <c r="I17" s="17" t="n">
        <v>9254.9</v>
      </c>
      <c r="J17" s="17" t="n">
        <v>9820.8</v>
      </c>
      <c r="K17" s="17" t="n">
        <v>10367</v>
      </c>
      <c r="L17" s="17" t="n">
        <v>11595.1</v>
      </c>
      <c r="M17" s="17" t="n">
        <v>12613.2</v>
      </c>
      <c r="N17" s="17" t="n">
        <v>13469.8</v>
      </c>
      <c r="O17" s="17" t="n">
        <v>14643</v>
      </c>
      <c r="P17" s="17" t="n">
        <v>15737.8</v>
      </c>
      <c r="Q17" s="17" t="n">
        <v>16397.7</v>
      </c>
      <c r="R17" s="17" t="n">
        <v>16627.6</v>
      </c>
      <c r="S17" s="17" t="n">
        <v>17686.7</v>
      </c>
      <c r="T17" s="17" t="n">
        <v>17840.5</v>
      </c>
      <c r="U17" s="17" t="n">
        <v>18281</v>
      </c>
      <c r="V17" s="17" t="n">
        <v>16713.6</v>
      </c>
      <c r="W17" s="17" t="n">
        <v>18932</v>
      </c>
      <c r="X17" s="17" t="n">
        <v>20461.6</v>
      </c>
      <c r="Y17" s="17" t="n">
        <v>21296.2</v>
      </c>
      <c r="Z17" s="17" t="n">
        <v>22488.3</v>
      </c>
      <c r="AA17" s="17" t="n">
        <v>22902.6</v>
      </c>
    </row>
    <row r="18" customFormat="false" ht="15" hidden="false" customHeight="true" outlineLevel="0" collapsed="false">
      <c r="A18" s="14" t="s">
        <v>31</v>
      </c>
      <c r="B18" s="15" t="n">
        <v>12900</v>
      </c>
      <c r="C18" s="15" t="n">
        <v>14191.3</v>
      </c>
      <c r="D18" s="15" t="n">
        <v>15940.7</v>
      </c>
      <c r="E18" s="15" t="n">
        <v>17329.2</v>
      </c>
      <c r="F18" s="15" t="n">
        <v>18865.6</v>
      </c>
      <c r="G18" s="15" t="n">
        <v>20388.2</v>
      </c>
      <c r="H18" s="15" t="n">
        <v>22380.2</v>
      </c>
      <c r="I18" s="15" t="n">
        <v>25610.8</v>
      </c>
      <c r="J18" s="15" t="n">
        <v>28104.6</v>
      </c>
      <c r="K18" s="15" t="n">
        <v>29250.2</v>
      </c>
      <c r="L18" s="15" t="n">
        <v>32614.8</v>
      </c>
      <c r="M18" s="15" t="n">
        <v>35049.8</v>
      </c>
      <c r="N18" s="15" t="n">
        <v>37739.4</v>
      </c>
      <c r="O18" s="15" t="n">
        <v>42339.9</v>
      </c>
      <c r="P18" s="15" t="n">
        <v>46021.7</v>
      </c>
      <c r="Q18" s="15" t="n">
        <v>48936.9</v>
      </c>
      <c r="R18" s="15" t="n">
        <v>52517.6</v>
      </c>
      <c r="S18" s="15" t="n">
        <v>57154.5</v>
      </c>
      <c r="T18" s="15" t="n">
        <v>61687.7</v>
      </c>
      <c r="U18" s="15" t="n">
        <v>66952.9</v>
      </c>
      <c r="V18" s="15" t="n">
        <v>60008</v>
      </c>
      <c r="W18" s="15" t="n">
        <v>70159.2</v>
      </c>
      <c r="X18" s="15" t="n">
        <v>76277.5</v>
      </c>
      <c r="Y18" s="15" t="n">
        <v>85454.8</v>
      </c>
      <c r="Z18" s="15" t="n">
        <v>92267</v>
      </c>
      <c r="AA18" s="15" t="n">
        <v>101747.1</v>
      </c>
    </row>
    <row r="19" customFormat="false" ht="15" hidden="false" customHeight="true" outlineLevel="0" collapsed="false">
      <c r="A19" s="16" t="s">
        <v>32</v>
      </c>
      <c r="B19" s="17" t="n">
        <v>8268</v>
      </c>
      <c r="C19" s="17" t="n">
        <v>8909.9</v>
      </c>
      <c r="D19" s="17" t="n">
        <v>9573.4</v>
      </c>
      <c r="E19" s="17" t="n">
        <v>10069.8</v>
      </c>
      <c r="F19" s="17" t="n">
        <v>11084.6</v>
      </c>
      <c r="G19" s="17" t="n">
        <v>12482.5</v>
      </c>
      <c r="H19" s="17" t="n">
        <v>13554.9</v>
      </c>
      <c r="I19" s="17" t="n">
        <v>15187.9</v>
      </c>
      <c r="J19" s="17" t="n">
        <v>17563.8</v>
      </c>
      <c r="K19" s="17" t="n">
        <v>19104.3</v>
      </c>
      <c r="L19" s="17" t="n">
        <v>21114</v>
      </c>
      <c r="M19" s="17" t="n">
        <v>23275.4</v>
      </c>
      <c r="N19" s="17" t="n">
        <v>25796.7</v>
      </c>
      <c r="O19" s="17" t="n">
        <v>28381.5</v>
      </c>
      <c r="P19" s="17" t="n">
        <v>30274.8</v>
      </c>
      <c r="Q19" s="17" t="n">
        <v>30534.9</v>
      </c>
      <c r="R19" s="17" t="n">
        <v>30995.2</v>
      </c>
      <c r="S19" s="17" t="n">
        <v>33142.5</v>
      </c>
      <c r="T19" s="17" t="n">
        <v>36293.9</v>
      </c>
      <c r="U19" s="17" t="n">
        <v>40167.7</v>
      </c>
      <c r="V19" s="17" t="n">
        <v>36686.9</v>
      </c>
      <c r="W19" s="17" t="n">
        <v>44575.1</v>
      </c>
      <c r="X19" s="17" t="n">
        <v>49376.7</v>
      </c>
      <c r="Y19" s="17" t="n">
        <v>53134.2</v>
      </c>
      <c r="Z19" s="17" t="n">
        <v>54564.6</v>
      </c>
      <c r="AA19" s="17" t="n">
        <v>57763</v>
      </c>
    </row>
    <row r="20" customFormat="false" ht="15" hidden="false" customHeight="true" outlineLevel="0" collapsed="false">
      <c r="A20" s="14" t="s">
        <v>33</v>
      </c>
      <c r="B20" s="15" t="n">
        <v>52000</v>
      </c>
      <c r="C20" s="15" t="n">
        <v>56727.5</v>
      </c>
      <c r="D20" s="15" t="n">
        <v>61654.9</v>
      </c>
      <c r="E20" s="15" t="n">
        <v>68743.7</v>
      </c>
      <c r="F20" s="15" t="n">
        <v>78674.1</v>
      </c>
      <c r="G20" s="15" t="n">
        <v>88378.2</v>
      </c>
      <c r="H20" s="15" t="n">
        <v>100122</v>
      </c>
      <c r="I20" s="15" t="n">
        <v>114858.9</v>
      </c>
      <c r="J20" s="15" t="n">
        <v>132348.2</v>
      </c>
      <c r="K20" s="15" t="n">
        <v>142128.9</v>
      </c>
      <c r="L20" s="15" t="n">
        <v>160875</v>
      </c>
      <c r="M20" s="15" t="n">
        <v>180890</v>
      </c>
      <c r="N20" s="15" t="n">
        <v>199216.1</v>
      </c>
      <c r="O20" s="15" t="n">
        <v>216048200</v>
      </c>
      <c r="P20" s="15" t="n">
        <v>234451.7</v>
      </c>
      <c r="Q20" s="15" t="n">
        <v>234717.3</v>
      </c>
      <c r="R20" s="15" t="n">
        <v>230673.7</v>
      </c>
      <c r="S20" s="15" t="n">
        <v>248705</v>
      </c>
      <c r="T20" s="15" t="n">
        <v>272525.8</v>
      </c>
      <c r="U20" s="15" t="n">
        <v>307973</v>
      </c>
      <c r="V20" s="15" t="n">
        <v>283789.6</v>
      </c>
      <c r="W20" s="15" t="n">
        <v>319094</v>
      </c>
      <c r="X20" s="15" t="n">
        <v>344509.5</v>
      </c>
      <c r="Y20" s="15" t="n">
        <v>356029</v>
      </c>
      <c r="Z20" s="15" t="n">
        <v>375849.7</v>
      </c>
      <c r="AA20" s="15" t="n">
        <v>417033.4</v>
      </c>
    </row>
    <row r="21" customFormat="false" ht="15" hidden="false" customHeight="true" outlineLevel="0" collapsed="false">
      <c r="A21" s="16" t="s">
        <v>34</v>
      </c>
      <c r="B21" s="17" t="n">
        <v>8001</v>
      </c>
      <c r="C21" s="17" t="n">
        <v>8259.3</v>
      </c>
      <c r="D21" s="17" t="n">
        <v>8987.1</v>
      </c>
      <c r="E21" s="17" t="n">
        <v>9717.9</v>
      </c>
      <c r="F21" s="17" t="n">
        <v>10977.9</v>
      </c>
      <c r="G21" s="17" t="n">
        <v>11756.7</v>
      </c>
      <c r="H21" s="17" t="n">
        <v>13090.7</v>
      </c>
      <c r="I21" s="17" t="n">
        <v>15099.2</v>
      </c>
      <c r="J21" s="17" t="n">
        <v>16926.6</v>
      </c>
      <c r="K21" s="17" t="n">
        <v>17541.5</v>
      </c>
      <c r="L21" s="17" t="n">
        <v>19993.6</v>
      </c>
      <c r="M21" s="17" t="n">
        <v>22074.8</v>
      </c>
      <c r="N21" s="17" t="n">
        <v>21411.5</v>
      </c>
      <c r="O21" s="17" t="n">
        <v>22464.4</v>
      </c>
      <c r="P21" s="17" t="n">
        <v>23670.5</v>
      </c>
      <c r="Q21" s="17" t="n">
        <v>23076.4</v>
      </c>
      <c r="R21" s="17" t="n">
        <v>20631.7</v>
      </c>
      <c r="S21" s="17" t="n">
        <v>21537</v>
      </c>
      <c r="T21" s="17" t="n">
        <v>22158.6</v>
      </c>
      <c r="U21" s="17" t="n">
        <v>22339.3</v>
      </c>
      <c r="V21" s="17" t="n">
        <v>20261.7</v>
      </c>
      <c r="W21" s="17" t="n">
        <v>22734.3</v>
      </c>
      <c r="X21" s="17" t="n">
        <v>25155.4</v>
      </c>
      <c r="Y21" s="17" t="n">
        <v>25521.2</v>
      </c>
      <c r="Z21" s="17" t="n">
        <v>25140.2</v>
      </c>
      <c r="AA21" s="17" t="n">
        <v>26532.7</v>
      </c>
    </row>
    <row r="22" customFormat="false" ht="15" hidden="false" customHeight="true" outlineLevel="0" collapsed="false">
      <c r="A22" s="14" t="s">
        <v>35</v>
      </c>
      <c r="B22" s="15" t="n">
        <v>22770</v>
      </c>
      <c r="C22" s="15" t="n">
        <v>22770.5</v>
      </c>
      <c r="D22" s="15" t="n">
        <v>21453.1</v>
      </c>
      <c r="E22" s="15" t="n">
        <v>23368</v>
      </c>
      <c r="F22" s="15" t="n">
        <v>25545.7</v>
      </c>
      <c r="G22" s="15" t="n">
        <v>28103.3</v>
      </c>
      <c r="H22" s="15" t="n">
        <v>31565.7</v>
      </c>
      <c r="I22" s="15" t="n">
        <v>34006.9</v>
      </c>
      <c r="J22" s="15" t="n">
        <v>37811.8</v>
      </c>
      <c r="K22" s="15" t="n">
        <v>38456.2</v>
      </c>
      <c r="L22" s="15" t="n">
        <v>43777.8</v>
      </c>
      <c r="M22" s="15" t="n">
        <v>47920.8</v>
      </c>
      <c r="N22" s="15" t="n">
        <v>50615.3</v>
      </c>
      <c r="O22" s="15" t="n">
        <v>52895.2</v>
      </c>
      <c r="P22" s="15" t="n">
        <v>55473.2</v>
      </c>
      <c r="Q22" s="15" t="n">
        <v>55269.8</v>
      </c>
      <c r="R22" s="15" t="n">
        <v>54878.5</v>
      </c>
      <c r="S22" s="15" t="n">
        <v>56944.2</v>
      </c>
      <c r="T22" s="15" t="n">
        <v>58885.3</v>
      </c>
      <c r="U22" s="15" t="n">
        <v>61513.5</v>
      </c>
      <c r="V22" s="15" t="n">
        <v>56403.5</v>
      </c>
      <c r="W22" s="15" t="n">
        <v>64427.7</v>
      </c>
      <c r="X22" s="15" t="n">
        <v>69325.9</v>
      </c>
      <c r="Y22" s="15" t="n">
        <v>74338</v>
      </c>
      <c r="Z22" s="15" t="n">
        <v>78095.7</v>
      </c>
      <c r="AA22" s="15" t="n">
        <v>83370.7</v>
      </c>
    </row>
    <row r="23" customFormat="false" ht="15" hidden="false" customHeight="true" outlineLevel="0" collapsed="false">
      <c r="A23" s="16" t="s">
        <v>36</v>
      </c>
      <c r="B23" s="17" t="n">
        <v>117600</v>
      </c>
      <c r="C23" s="17" t="n">
        <v>120759.5</v>
      </c>
      <c r="D23" s="17" t="n">
        <v>113387.1</v>
      </c>
      <c r="E23" s="17" t="n">
        <v>108756.8</v>
      </c>
      <c r="F23" s="17" t="n">
        <v>138776.8</v>
      </c>
      <c r="G23" s="17" t="n">
        <v>154366.3</v>
      </c>
      <c r="H23" s="17" t="n">
        <v>175664.9</v>
      </c>
      <c r="I23" s="17" t="n">
        <v>183538.8</v>
      </c>
      <c r="J23" s="17" t="n">
        <v>202127.1</v>
      </c>
      <c r="K23" s="17" t="n">
        <v>215941.6</v>
      </c>
      <c r="L23" s="17" t="n">
        <v>250854.2</v>
      </c>
      <c r="M23" s="17" t="n">
        <v>263963.9</v>
      </c>
      <c r="N23" s="17" t="n">
        <v>290096.7</v>
      </c>
      <c r="O23" s="17" t="n">
        <v>297014.8</v>
      </c>
      <c r="P23" s="17" t="n">
        <v>306975.2</v>
      </c>
      <c r="Q23" s="17" t="n">
        <v>235646.9</v>
      </c>
      <c r="R23" s="17" t="n">
        <v>146172</v>
      </c>
      <c r="S23" s="17" t="n">
        <v>118173.8</v>
      </c>
      <c r="T23" s="17" t="n">
        <v>90602.4</v>
      </c>
      <c r="U23" s="17" t="n">
        <v>58160.6</v>
      </c>
      <c r="V23" s="17" t="n">
        <v>38593.7</v>
      </c>
      <c r="W23" s="17" t="n">
        <v>40157.1</v>
      </c>
      <c r="X23" s="17" t="n">
        <v>41861.4</v>
      </c>
      <c r="Y23" s="17" t="n">
        <v>41088.1</v>
      </c>
      <c r="Z23" s="17" t="n">
        <v>40885.2</v>
      </c>
      <c r="AA23" s="17" t="n">
        <v>38990.5</v>
      </c>
    </row>
    <row r="24" customFormat="false" ht="15" hidden="false" customHeight="true" outlineLevel="0" collapsed="false">
      <c r="A24" s="14" t="s">
        <v>37</v>
      </c>
      <c r="B24" s="18" t="s">
        <v>38</v>
      </c>
      <c r="C24" s="15" t="n">
        <v>17529.8</v>
      </c>
      <c r="D24" s="15" t="n">
        <v>18921.5</v>
      </c>
      <c r="E24" s="15" t="n">
        <v>20303</v>
      </c>
      <c r="F24" s="15" t="n">
        <v>22416.4</v>
      </c>
      <c r="G24" s="15" t="n">
        <v>24849.9</v>
      </c>
      <c r="H24" s="15" t="n">
        <v>27709.7</v>
      </c>
      <c r="I24" s="15" t="n">
        <v>30086.8</v>
      </c>
      <c r="J24" s="15" t="n">
        <v>32666.1</v>
      </c>
      <c r="K24" s="15" t="n">
        <v>34122.5</v>
      </c>
      <c r="L24" s="15" t="n">
        <v>37751</v>
      </c>
      <c r="M24" s="15" t="n">
        <v>40841</v>
      </c>
      <c r="N24" s="15" t="n">
        <v>43096.9</v>
      </c>
      <c r="O24" s="15" t="n">
        <v>46752.2</v>
      </c>
      <c r="P24" s="15" t="n">
        <v>50744.7</v>
      </c>
      <c r="Q24" s="15" t="n">
        <v>53006.6</v>
      </c>
      <c r="R24" s="15" t="n">
        <v>54759.3</v>
      </c>
      <c r="S24" s="15" t="n">
        <v>58713.8</v>
      </c>
      <c r="T24" s="15" t="n">
        <v>62655.1</v>
      </c>
      <c r="U24" s="15" t="n">
        <v>66547.5</v>
      </c>
      <c r="V24" s="15" t="n">
        <v>63056.8</v>
      </c>
      <c r="W24" s="15" t="n">
        <v>72767.2</v>
      </c>
      <c r="X24" s="15" t="n">
        <v>80031.8</v>
      </c>
      <c r="Y24" s="15" t="n">
        <v>86393.5</v>
      </c>
      <c r="Z24" s="15" t="n">
        <v>91542.1</v>
      </c>
      <c r="AA24" s="15" t="n">
        <v>99622.5</v>
      </c>
    </row>
  </sheetData>
  <autoFilter ref="A3:AA24"/>
  <mergeCells count="2">
    <mergeCell ref="A1:AA1"/>
    <mergeCell ref="A2:AA2"/>
  </mergeCells>
  <conditionalFormatting sqref="B4:AA24">
    <cfRule type="colorScale" priority="2">
      <colorScale>
        <cfvo type="min" val="0"/>
        <cfvo type="max" val="0"/>
        <color rgb="FFFFFFFF"/>
        <color rgb="FFBBD7EC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36BAA"/>
    <pageSetUpPr fitToPage="true"/>
  </sheetPr>
  <dimension ref="A1:AA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7" min="2" style="1" width="10"/>
  </cols>
  <sheetData>
    <row r="1" customFormat="false" ht="21.75" hidden="false" customHeight="true" outlineLevel="0" collapsed="false">
      <c r="A1" s="10" t="s">
        <v>39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</row>
    <row r="2" customFormat="false" ht="25.5" hidden="false" customHeight="true" outlineLevel="0" collapsed="false">
      <c r="A2" s="12" t="s">
        <v>16</v>
      </c>
      <c r="B2" s="13" t="n">
        <v>2000</v>
      </c>
      <c r="C2" s="13" t="n">
        <v>2001</v>
      </c>
      <c r="D2" s="13" t="n">
        <v>2002</v>
      </c>
      <c r="E2" s="13" t="n">
        <v>2003</v>
      </c>
      <c r="F2" s="13" t="n">
        <v>2004</v>
      </c>
      <c r="G2" s="13" t="n">
        <v>2005</v>
      </c>
      <c r="H2" s="13" t="n">
        <v>2006</v>
      </c>
      <c r="I2" s="13" t="n">
        <v>2007</v>
      </c>
      <c r="J2" s="13" t="n">
        <v>2008</v>
      </c>
      <c r="K2" s="13" t="n">
        <v>2009</v>
      </c>
      <c r="L2" s="13" t="n">
        <v>2010</v>
      </c>
      <c r="M2" s="13" t="n">
        <v>2011</v>
      </c>
      <c r="N2" s="13" t="n">
        <v>2012</v>
      </c>
      <c r="O2" s="13" t="n">
        <v>2013</v>
      </c>
      <c r="P2" s="13" t="n">
        <v>2014</v>
      </c>
      <c r="Q2" s="13" t="n">
        <v>2015</v>
      </c>
      <c r="R2" s="13" t="n">
        <v>2016</v>
      </c>
      <c r="S2" s="13" t="n">
        <v>2017</v>
      </c>
      <c r="T2" s="13" t="n">
        <v>2018</v>
      </c>
      <c r="U2" s="13" t="n">
        <v>2019</v>
      </c>
      <c r="V2" s="13" t="n">
        <v>2020</v>
      </c>
      <c r="W2" s="13" t="n">
        <v>2021</v>
      </c>
      <c r="X2" s="13" t="n">
        <v>2022</v>
      </c>
      <c r="Y2" s="13" t="n">
        <v>2023</v>
      </c>
      <c r="Z2" s="13" t="n">
        <v>2024</v>
      </c>
      <c r="AA2" s="13" t="n">
        <v>2025</v>
      </c>
    </row>
    <row r="3" customFormat="false" ht="15" hidden="false" customHeight="true" outlineLevel="0" collapsed="false">
      <c r="A3" s="14" t="s">
        <v>17</v>
      </c>
      <c r="B3" s="15" t="n">
        <v>5100</v>
      </c>
      <c r="C3" s="15" t="n">
        <v>5259</v>
      </c>
      <c r="D3" s="15" t="n">
        <v>5505</v>
      </c>
      <c r="E3" s="15" t="n">
        <v>5992</v>
      </c>
      <c r="F3" s="15" t="n">
        <v>6706</v>
      </c>
      <c r="G3" s="15" t="n">
        <v>7397</v>
      </c>
      <c r="H3" s="15" t="n">
        <v>8391</v>
      </c>
      <c r="I3" s="15" t="n">
        <v>9296</v>
      </c>
      <c r="J3" s="15" t="n">
        <v>10295</v>
      </c>
      <c r="K3" s="15" t="n">
        <v>11114</v>
      </c>
      <c r="L3" s="15" t="n">
        <v>12465</v>
      </c>
      <c r="M3" s="15" t="n">
        <v>13523</v>
      </c>
      <c r="N3" s="15" t="n">
        <v>14356</v>
      </c>
      <c r="O3" s="15" t="n">
        <v>15472</v>
      </c>
      <c r="P3" s="15" t="n">
        <v>16070</v>
      </c>
      <c r="Q3" s="15" t="n">
        <v>16159</v>
      </c>
      <c r="R3" s="15" t="n">
        <v>16128</v>
      </c>
      <c r="S3" s="15" t="n">
        <v>16716</v>
      </c>
      <c r="T3" s="15" t="n">
        <v>17864</v>
      </c>
      <c r="U3" s="15" t="n">
        <v>18227</v>
      </c>
      <c r="V3" s="15" t="n">
        <v>16645</v>
      </c>
      <c r="W3" s="15" t="n">
        <v>19121</v>
      </c>
      <c r="X3" s="15" t="n">
        <v>19711</v>
      </c>
      <c r="Y3" s="15" t="n">
        <v>20669</v>
      </c>
      <c r="Z3" s="15" t="n">
        <v>21795</v>
      </c>
      <c r="AA3" s="15" t="n">
        <v>22714</v>
      </c>
    </row>
    <row r="4" customFormat="false" ht="15" hidden="false" customHeight="true" outlineLevel="0" collapsed="false">
      <c r="A4" s="16" t="s">
        <v>18</v>
      </c>
      <c r="B4" s="17" t="n">
        <v>7700</v>
      </c>
      <c r="C4" s="17" t="n">
        <v>7593</v>
      </c>
      <c r="D4" s="17" t="n">
        <v>7053</v>
      </c>
      <c r="E4" s="17" t="n">
        <v>8038</v>
      </c>
      <c r="F4" s="17" t="n">
        <v>8504</v>
      </c>
      <c r="G4" s="17" t="n">
        <v>8765</v>
      </c>
      <c r="H4" s="17" t="n">
        <v>9326</v>
      </c>
      <c r="I4" s="17" t="n">
        <v>9979</v>
      </c>
      <c r="J4" s="17" t="n">
        <v>10477</v>
      </c>
      <c r="K4" s="17" t="n">
        <v>10837</v>
      </c>
      <c r="L4" s="17" t="n">
        <v>12420</v>
      </c>
      <c r="M4" s="17" t="n">
        <v>12974</v>
      </c>
      <c r="N4" s="17" t="n">
        <v>13688</v>
      </c>
      <c r="O4" s="17" t="n">
        <v>14823</v>
      </c>
      <c r="P4" s="17" t="n">
        <v>15625</v>
      </c>
      <c r="Q4" s="17" t="n">
        <v>16137</v>
      </c>
      <c r="R4" s="17" t="n">
        <v>15880</v>
      </c>
      <c r="S4" s="17" t="n">
        <v>16635</v>
      </c>
      <c r="T4" s="17" t="n">
        <v>16610</v>
      </c>
      <c r="U4" s="17" t="n">
        <v>14779</v>
      </c>
      <c r="V4" s="17" t="n">
        <v>13562</v>
      </c>
      <c r="W4" s="17" t="n">
        <v>14837</v>
      </c>
      <c r="X4" s="17" t="n">
        <v>15176</v>
      </c>
      <c r="Y4" s="17" t="n">
        <v>14789</v>
      </c>
      <c r="Z4" s="17" t="n">
        <v>14940</v>
      </c>
      <c r="AA4" s="17" t="n">
        <v>14437</v>
      </c>
    </row>
    <row r="5" customFormat="false" ht="15" hidden="false" customHeight="true" outlineLevel="0" collapsed="false">
      <c r="A5" s="14" t="s">
        <v>19</v>
      </c>
      <c r="B5" s="15" t="n">
        <v>1010</v>
      </c>
      <c r="C5" s="15" t="n">
        <v>1100</v>
      </c>
      <c r="D5" s="15" t="n">
        <v>1159</v>
      </c>
      <c r="E5" s="15" t="n">
        <v>1239</v>
      </c>
      <c r="F5" s="15" t="n">
        <v>1401</v>
      </c>
      <c r="G5" s="15" t="n">
        <v>1590</v>
      </c>
      <c r="H5" s="15" t="n">
        <v>1768</v>
      </c>
      <c r="I5" s="15" t="n">
        <v>1947</v>
      </c>
      <c r="J5" s="15" t="n">
        <v>2152</v>
      </c>
      <c r="K5" s="15" t="n">
        <v>2254</v>
      </c>
      <c r="L5" s="15" t="n">
        <v>2506</v>
      </c>
      <c r="M5" s="15" t="n">
        <v>2780</v>
      </c>
      <c r="N5" s="15" t="n">
        <v>2954</v>
      </c>
      <c r="O5" s="15" t="n">
        <v>3216</v>
      </c>
      <c r="P5" s="15" t="n">
        <v>3397</v>
      </c>
      <c r="Q5" s="15" t="n">
        <v>3319</v>
      </c>
      <c r="R5" s="15" t="n">
        <v>3323</v>
      </c>
      <c r="S5" s="15" t="n">
        <v>3530</v>
      </c>
      <c r="T5" s="15" t="n">
        <v>3680</v>
      </c>
      <c r="U5" s="15" t="n">
        <v>3839</v>
      </c>
      <c r="V5" s="15" t="n">
        <v>3688</v>
      </c>
      <c r="W5" s="15" t="n">
        <v>4301</v>
      </c>
      <c r="X5" s="15" t="n">
        <v>4669</v>
      </c>
      <c r="Y5" s="15" t="n">
        <v>4912</v>
      </c>
      <c r="Z5" s="15" t="n">
        <v>5087</v>
      </c>
      <c r="AA5" s="15" t="n">
        <v>5343</v>
      </c>
    </row>
    <row r="6" customFormat="false" ht="15" hidden="false" customHeight="true" outlineLevel="0" collapsed="false">
      <c r="A6" s="16" t="s">
        <v>20</v>
      </c>
      <c r="B6" s="17" t="n">
        <v>3700</v>
      </c>
      <c r="C6" s="17" t="n">
        <v>3892</v>
      </c>
      <c r="D6" s="17" t="n">
        <v>4071</v>
      </c>
      <c r="E6" s="17" t="n">
        <v>4171</v>
      </c>
      <c r="F6" s="17" t="n">
        <v>4502</v>
      </c>
      <c r="G6" s="17" t="n">
        <v>4773</v>
      </c>
      <c r="H6" s="17" t="n">
        <v>5098</v>
      </c>
      <c r="I6" s="17" t="n">
        <v>5473</v>
      </c>
      <c r="J6" s="17" t="n">
        <v>5972</v>
      </c>
      <c r="K6" s="17" t="n">
        <v>6152</v>
      </c>
      <c r="L6" s="17" t="n">
        <v>6383</v>
      </c>
      <c r="M6" s="17" t="n">
        <v>7029</v>
      </c>
      <c r="N6" s="17" t="n">
        <v>7613</v>
      </c>
      <c r="O6" s="17" t="n">
        <v>7779</v>
      </c>
      <c r="P6" s="17" t="n">
        <v>8036</v>
      </c>
      <c r="Q6" s="17" t="n">
        <v>7556</v>
      </c>
      <c r="R6" s="17" t="n">
        <v>7084</v>
      </c>
      <c r="S6" s="17" t="n">
        <v>7392</v>
      </c>
      <c r="T6" s="17" t="n">
        <v>7705</v>
      </c>
      <c r="U6" s="17" t="n">
        <v>8211</v>
      </c>
      <c r="V6" s="17" t="n">
        <v>7789</v>
      </c>
      <c r="W6" s="17" t="n">
        <v>8779</v>
      </c>
      <c r="X6" s="17" t="n">
        <v>9340</v>
      </c>
      <c r="Y6" s="17" t="n">
        <v>9948</v>
      </c>
      <c r="Z6" s="17" t="n">
        <v>10391</v>
      </c>
      <c r="AA6" s="17" t="n">
        <v>10987</v>
      </c>
    </row>
    <row r="7" customFormat="false" ht="15" hidden="false" customHeight="true" outlineLevel="0" collapsed="false">
      <c r="A7" s="14" t="s">
        <v>21</v>
      </c>
      <c r="B7" s="15" t="n">
        <v>2500</v>
      </c>
      <c r="C7" s="15" t="n">
        <v>2645</v>
      </c>
      <c r="D7" s="15" t="n">
        <v>2775</v>
      </c>
      <c r="E7" s="15" t="n">
        <v>2956</v>
      </c>
      <c r="F7" s="15" t="n">
        <v>3241</v>
      </c>
      <c r="G7" s="15" t="n">
        <v>3591</v>
      </c>
      <c r="H7" s="15" t="n">
        <v>3902</v>
      </c>
      <c r="I7" s="15" t="n">
        <v>4267</v>
      </c>
      <c r="J7" s="15" t="n">
        <v>4693</v>
      </c>
      <c r="K7" s="15" t="n">
        <v>4924</v>
      </c>
      <c r="L7" s="15" t="n">
        <v>5484</v>
      </c>
      <c r="M7" s="15" t="n">
        <v>6008</v>
      </c>
      <c r="N7" s="15" t="n">
        <v>6292</v>
      </c>
      <c r="O7" s="15" t="n">
        <v>6608</v>
      </c>
      <c r="P7" s="15" t="n">
        <v>6952</v>
      </c>
      <c r="Q7" s="15" t="n">
        <v>6984</v>
      </c>
      <c r="R7" s="15" t="n">
        <v>6990</v>
      </c>
      <c r="S7" s="15" t="n">
        <v>7353</v>
      </c>
      <c r="T7" s="15" t="n">
        <v>7793</v>
      </c>
      <c r="U7" s="15" t="n">
        <v>8249</v>
      </c>
      <c r="V7" s="15" t="n">
        <v>7980</v>
      </c>
      <c r="W7" s="15" t="n">
        <v>9018</v>
      </c>
      <c r="X7" s="15" t="n">
        <v>9581</v>
      </c>
      <c r="Y7" s="15" t="n">
        <v>10322</v>
      </c>
      <c r="Z7" s="15" t="n">
        <v>11091</v>
      </c>
      <c r="AA7" s="15" t="n">
        <v>11699</v>
      </c>
    </row>
    <row r="8" customFormat="false" ht="15" hidden="false" customHeight="true" outlineLevel="0" collapsed="false">
      <c r="A8" s="16" t="s">
        <v>22</v>
      </c>
      <c r="B8" s="17" t="n">
        <v>2800</v>
      </c>
      <c r="C8" s="17" t="n">
        <v>2919</v>
      </c>
      <c r="D8" s="17" t="n">
        <v>3060</v>
      </c>
      <c r="E8" s="17" t="n">
        <v>3216</v>
      </c>
      <c r="F8" s="17" t="n">
        <v>3445</v>
      </c>
      <c r="G8" s="17" t="n">
        <v>3606</v>
      </c>
      <c r="H8" s="17" t="n">
        <v>3801</v>
      </c>
      <c r="I8" s="17" t="n">
        <v>3980</v>
      </c>
      <c r="J8" s="17" t="n">
        <v>4206</v>
      </c>
      <c r="K8" s="17" t="n">
        <v>4314</v>
      </c>
      <c r="L8" s="17" t="n">
        <v>4627</v>
      </c>
      <c r="M8" s="17" t="n">
        <v>4866</v>
      </c>
      <c r="N8" s="17" t="n">
        <v>5076</v>
      </c>
      <c r="O8" s="17" t="n">
        <v>5216</v>
      </c>
      <c r="P8" s="17" t="n">
        <v>5583</v>
      </c>
      <c r="Q8" s="17" t="n">
        <v>5604</v>
      </c>
      <c r="R8" s="17" t="n">
        <v>5823</v>
      </c>
      <c r="S8" s="17" t="n">
        <v>5972</v>
      </c>
      <c r="T8" s="17" t="n">
        <v>6331</v>
      </c>
      <c r="U8" s="17" t="n">
        <v>6385</v>
      </c>
      <c r="V8" s="17" t="n">
        <v>5889</v>
      </c>
      <c r="W8" s="17" t="n">
        <v>6307</v>
      </c>
      <c r="X8" s="17" t="n">
        <v>6475</v>
      </c>
      <c r="Y8" s="17" t="n">
        <v>6784</v>
      </c>
      <c r="Z8" s="17" t="n">
        <v>7069</v>
      </c>
      <c r="AA8" s="17" t="n">
        <v>7172</v>
      </c>
    </row>
    <row r="9" customFormat="false" ht="15" hidden="false" customHeight="true" outlineLevel="0" collapsed="false">
      <c r="A9" s="14" t="s">
        <v>23</v>
      </c>
      <c r="B9" s="15" t="n">
        <v>2900</v>
      </c>
      <c r="C9" s="15" t="n">
        <v>3098</v>
      </c>
      <c r="D9" s="15" t="n">
        <v>3301</v>
      </c>
      <c r="E9" s="15" t="n">
        <v>3643</v>
      </c>
      <c r="F9" s="15" t="n">
        <v>4033</v>
      </c>
      <c r="G9" s="15" t="n">
        <v>4371</v>
      </c>
      <c r="H9" s="15" t="n">
        <v>4809</v>
      </c>
      <c r="I9" s="15" t="n">
        <v>5274</v>
      </c>
      <c r="J9" s="15" t="n">
        <v>5916</v>
      </c>
      <c r="K9" s="15" t="n">
        <v>6217</v>
      </c>
      <c r="L9" s="15" t="n">
        <v>6888</v>
      </c>
      <c r="M9" s="15" t="n">
        <v>7512</v>
      </c>
      <c r="N9" s="15" t="n">
        <v>7944</v>
      </c>
      <c r="O9" s="15" t="n">
        <v>8785</v>
      </c>
      <c r="P9" s="15" t="n">
        <v>9601</v>
      </c>
      <c r="Q9" s="15" t="n">
        <v>10068</v>
      </c>
      <c r="R9" s="15" t="n">
        <v>10534</v>
      </c>
      <c r="S9" s="15" t="n">
        <v>11445</v>
      </c>
      <c r="T9" s="15" t="n">
        <v>12123</v>
      </c>
      <c r="U9" s="15" t="n">
        <v>13208</v>
      </c>
      <c r="V9" s="15" t="n">
        <v>12224</v>
      </c>
      <c r="W9" s="15" t="n">
        <v>13492</v>
      </c>
      <c r="X9" s="15" t="n">
        <v>14724</v>
      </c>
      <c r="Y9" s="15" t="n">
        <v>15629</v>
      </c>
      <c r="Z9" s="15" t="n">
        <v>16839</v>
      </c>
      <c r="AA9" s="15" t="n">
        <v>17595</v>
      </c>
    </row>
    <row r="10" customFormat="false" ht="15" hidden="false" customHeight="true" outlineLevel="0" collapsed="false">
      <c r="A10" s="16" t="s">
        <v>24</v>
      </c>
      <c r="B10" s="17" t="n">
        <v>1450</v>
      </c>
      <c r="C10" s="17" t="n">
        <v>1536</v>
      </c>
      <c r="D10" s="17" t="n">
        <v>1613</v>
      </c>
      <c r="E10" s="17" t="n">
        <v>1683</v>
      </c>
      <c r="F10" s="17" t="n">
        <v>1894</v>
      </c>
      <c r="G10" s="17" t="n">
        <v>2097</v>
      </c>
      <c r="H10" s="17" t="n">
        <v>2352</v>
      </c>
      <c r="I10" s="17" t="n">
        <v>2497</v>
      </c>
      <c r="J10" s="17" t="n">
        <v>2769</v>
      </c>
      <c r="K10" s="17" t="n">
        <v>2906</v>
      </c>
      <c r="L10" s="17" t="n">
        <v>3274</v>
      </c>
      <c r="M10" s="17" t="n">
        <v>3685</v>
      </c>
      <c r="N10" s="17" t="n">
        <v>3950</v>
      </c>
      <c r="O10" s="17" t="n">
        <v>4069</v>
      </c>
      <c r="P10" s="17" t="n">
        <v>4251</v>
      </c>
      <c r="Q10" s="17" t="n">
        <v>4226</v>
      </c>
      <c r="R10" s="17" t="n">
        <v>4072</v>
      </c>
      <c r="S10" s="17" t="n">
        <v>4240</v>
      </c>
      <c r="T10" s="17" t="n">
        <v>4501</v>
      </c>
      <c r="U10" s="17" t="n">
        <v>4636</v>
      </c>
      <c r="V10" s="17" t="n">
        <v>4334</v>
      </c>
      <c r="W10" s="17" t="n">
        <v>4654</v>
      </c>
      <c r="X10" s="17" t="n">
        <v>5181</v>
      </c>
      <c r="Y10" s="17" t="n">
        <v>5460</v>
      </c>
      <c r="Z10" s="17" t="n">
        <v>5630</v>
      </c>
      <c r="AA10" s="17" t="n">
        <v>5682</v>
      </c>
    </row>
    <row r="11" customFormat="false" ht="15" hidden="false" customHeight="true" outlineLevel="0" collapsed="false">
      <c r="A11" s="14" t="s">
        <v>25</v>
      </c>
      <c r="B11" s="15" t="n">
        <v>2200</v>
      </c>
      <c r="C11" s="15" t="n">
        <v>2296</v>
      </c>
      <c r="D11" s="15" t="n">
        <v>2363</v>
      </c>
      <c r="E11" s="15" t="n">
        <v>2437</v>
      </c>
      <c r="F11" s="15" t="n">
        <v>2581</v>
      </c>
      <c r="G11" s="15" t="n">
        <v>2749</v>
      </c>
      <c r="H11" s="15" t="n">
        <v>2917</v>
      </c>
      <c r="I11" s="15" t="n">
        <v>3084</v>
      </c>
      <c r="J11" s="15" t="n">
        <v>3268</v>
      </c>
      <c r="K11" s="15" t="n">
        <v>3337</v>
      </c>
      <c r="L11" s="15" t="n">
        <v>3581</v>
      </c>
      <c r="M11" s="15" t="n">
        <v>3759</v>
      </c>
      <c r="N11" s="15" t="n">
        <v>3864</v>
      </c>
      <c r="O11" s="15" t="n">
        <v>3978</v>
      </c>
      <c r="P11" s="15" t="n">
        <v>4179</v>
      </c>
      <c r="Q11" s="15" t="n">
        <v>4311</v>
      </c>
      <c r="R11" s="15" t="n">
        <v>4472</v>
      </c>
      <c r="S11" s="15" t="n">
        <v>4688</v>
      </c>
      <c r="T11" s="15" t="n">
        <v>4977</v>
      </c>
      <c r="U11" s="15" t="n">
        <v>5233</v>
      </c>
      <c r="V11" s="15" t="n">
        <v>4834</v>
      </c>
      <c r="W11" s="15" t="n">
        <v>5411</v>
      </c>
      <c r="X11" s="15" t="n">
        <v>5805</v>
      </c>
      <c r="Y11" s="15" t="n">
        <v>6045</v>
      </c>
      <c r="Z11" s="15" t="n">
        <v>6337</v>
      </c>
      <c r="AA11" s="15" t="n">
        <v>6776</v>
      </c>
    </row>
    <row r="12" customFormat="false" ht="15" hidden="false" customHeight="true" outlineLevel="0" collapsed="false">
      <c r="A12" s="16" t="s">
        <v>26</v>
      </c>
      <c r="B12" s="17" t="n">
        <v>1700</v>
      </c>
      <c r="C12" s="17" t="n">
        <v>1819</v>
      </c>
      <c r="D12" s="17" t="n">
        <v>1916</v>
      </c>
      <c r="E12" s="17" t="n">
        <v>2021</v>
      </c>
      <c r="F12" s="17" t="n">
        <v>2187</v>
      </c>
      <c r="G12" s="17" t="n">
        <v>2401</v>
      </c>
      <c r="H12" s="17" t="n">
        <v>2601</v>
      </c>
      <c r="I12" s="17" t="n">
        <v>2812</v>
      </c>
      <c r="J12" s="17" t="n">
        <v>3008</v>
      </c>
      <c r="K12" s="17" t="n">
        <v>3120</v>
      </c>
      <c r="L12" s="17" t="n">
        <v>3410</v>
      </c>
      <c r="M12" s="17" t="n">
        <v>3651</v>
      </c>
      <c r="N12" s="17" t="n">
        <v>3846</v>
      </c>
      <c r="O12" s="17" t="n">
        <v>4092</v>
      </c>
      <c r="P12" s="17" t="n">
        <v>4317</v>
      </c>
      <c r="Q12" s="17" t="n">
        <v>4534</v>
      </c>
      <c r="R12" s="17" t="n">
        <v>4643</v>
      </c>
      <c r="S12" s="17" t="n">
        <v>4915</v>
      </c>
      <c r="T12" s="17" t="n">
        <v>5354</v>
      </c>
      <c r="U12" s="17" t="n">
        <v>5644</v>
      </c>
      <c r="V12" s="17" t="n">
        <v>5336</v>
      </c>
      <c r="W12" s="17" t="n">
        <v>5950</v>
      </c>
      <c r="X12" s="17" t="n">
        <v>6487</v>
      </c>
      <c r="Y12" s="17" t="n">
        <v>6926</v>
      </c>
      <c r="Z12" s="17" t="n">
        <v>7200</v>
      </c>
      <c r="AA12" s="17" t="n">
        <v>7736</v>
      </c>
    </row>
    <row r="13" customFormat="false" ht="15" hidden="false" customHeight="true" outlineLevel="0" collapsed="false">
      <c r="A13" s="14" t="s">
        <v>27</v>
      </c>
      <c r="B13" s="15" t="n">
        <v>1230</v>
      </c>
      <c r="C13" s="15" t="n">
        <v>1298</v>
      </c>
      <c r="D13" s="15" t="n">
        <v>1363</v>
      </c>
      <c r="E13" s="15" t="n">
        <v>1413</v>
      </c>
      <c r="F13" s="15" t="n">
        <v>1533</v>
      </c>
      <c r="G13" s="15" t="n">
        <v>1670</v>
      </c>
      <c r="H13" s="15" t="n">
        <v>1798</v>
      </c>
      <c r="I13" s="15" t="n">
        <v>1940</v>
      </c>
      <c r="J13" s="15" t="n">
        <v>2103</v>
      </c>
      <c r="K13" s="15" t="n">
        <v>2186</v>
      </c>
      <c r="L13" s="15" t="n">
        <v>2392</v>
      </c>
      <c r="M13" s="15" t="n">
        <v>2495</v>
      </c>
      <c r="N13" s="15" t="n">
        <v>2618</v>
      </c>
      <c r="O13" s="15" t="n">
        <v>2762</v>
      </c>
      <c r="P13" s="15" t="n">
        <v>2979</v>
      </c>
      <c r="Q13" s="15" t="n">
        <v>3087</v>
      </c>
      <c r="R13" s="15" t="n">
        <v>3119</v>
      </c>
      <c r="S13" s="15" t="n">
        <v>3340</v>
      </c>
      <c r="T13" s="15" t="n">
        <v>3424</v>
      </c>
      <c r="U13" s="15" t="n">
        <v>3496</v>
      </c>
      <c r="V13" s="15" t="n">
        <v>3268</v>
      </c>
      <c r="W13" s="15" t="n">
        <v>3709</v>
      </c>
      <c r="X13" s="15" t="n">
        <v>4098</v>
      </c>
      <c r="Y13" s="15" t="n">
        <v>4431</v>
      </c>
      <c r="Z13" s="15" t="n">
        <v>4785</v>
      </c>
      <c r="AA13" s="15" t="n">
        <v>5003</v>
      </c>
    </row>
    <row r="14" customFormat="false" ht="15" hidden="false" customHeight="true" outlineLevel="0" collapsed="false">
      <c r="A14" s="16" t="s">
        <v>28</v>
      </c>
      <c r="B14" s="17" t="n">
        <v>3400</v>
      </c>
      <c r="C14" s="17" t="n">
        <v>3454</v>
      </c>
      <c r="D14" s="17" t="n">
        <v>3598</v>
      </c>
      <c r="E14" s="17" t="n">
        <v>3622</v>
      </c>
      <c r="F14" s="17" t="n">
        <v>3726</v>
      </c>
      <c r="G14" s="17" t="n">
        <v>3883</v>
      </c>
      <c r="H14" s="17" t="n">
        <v>4256</v>
      </c>
      <c r="I14" s="17" t="n">
        <v>4538</v>
      </c>
      <c r="J14" s="17" t="n">
        <v>4793</v>
      </c>
      <c r="K14" s="17" t="n">
        <v>4840</v>
      </c>
      <c r="L14" s="17" t="n">
        <v>5184</v>
      </c>
      <c r="M14" s="17" t="n">
        <v>5400</v>
      </c>
      <c r="N14" s="17" t="n">
        <v>5662</v>
      </c>
      <c r="O14" s="17" t="n">
        <v>5868</v>
      </c>
      <c r="P14" s="17" t="n">
        <v>6008</v>
      </c>
      <c r="Q14" s="17" t="n">
        <v>6109</v>
      </c>
      <c r="R14" s="17" t="n">
        <v>6298</v>
      </c>
      <c r="S14" s="17" t="n">
        <v>6753</v>
      </c>
      <c r="T14" s="17" t="n">
        <v>6989</v>
      </c>
      <c r="U14" s="17" t="n">
        <v>7048</v>
      </c>
      <c r="V14" s="17" t="n">
        <v>6196</v>
      </c>
      <c r="W14" s="17" t="n">
        <v>6807</v>
      </c>
      <c r="X14" s="17" t="n">
        <v>7096</v>
      </c>
      <c r="Y14" s="17" t="n">
        <v>7434</v>
      </c>
      <c r="Z14" s="17" t="n">
        <v>7614</v>
      </c>
      <c r="AA14" s="17" t="n">
        <v>7858</v>
      </c>
    </row>
    <row r="15" customFormat="false" ht="15" hidden="false" customHeight="true" outlineLevel="0" collapsed="false">
      <c r="A15" s="14" t="s">
        <v>29</v>
      </c>
      <c r="B15" s="15" t="n">
        <v>6600</v>
      </c>
      <c r="C15" s="15" t="n">
        <v>7004</v>
      </c>
      <c r="D15" s="15" t="n">
        <v>7258</v>
      </c>
      <c r="E15" s="15" t="n">
        <v>7456</v>
      </c>
      <c r="F15" s="15" t="n">
        <v>8095</v>
      </c>
      <c r="G15" s="15" t="n">
        <v>8711</v>
      </c>
      <c r="H15" s="15" t="n">
        <v>9560</v>
      </c>
      <c r="I15" s="15" t="n">
        <v>10044</v>
      </c>
      <c r="J15" s="15" t="n">
        <v>10771</v>
      </c>
      <c r="K15" s="15" t="n">
        <v>10896</v>
      </c>
      <c r="L15" s="15" t="n">
        <v>11779</v>
      </c>
      <c r="M15" s="15" t="n">
        <v>12497</v>
      </c>
      <c r="N15" s="15" t="n">
        <v>13465</v>
      </c>
      <c r="O15" s="15" t="n">
        <v>14252</v>
      </c>
      <c r="P15" s="15" t="n">
        <v>15196</v>
      </c>
      <c r="Q15" s="15" t="n">
        <v>15057</v>
      </c>
      <c r="R15" s="15" t="n">
        <v>15474</v>
      </c>
      <c r="S15" s="15" t="n">
        <v>16399</v>
      </c>
      <c r="T15" s="15" t="n">
        <v>16902</v>
      </c>
      <c r="U15" s="15" t="n">
        <v>17427</v>
      </c>
      <c r="V15" s="15" t="n">
        <v>15961</v>
      </c>
      <c r="W15" s="15" t="n">
        <v>18067</v>
      </c>
      <c r="X15" s="15" t="n">
        <v>19458</v>
      </c>
      <c r="Y15" s="15" t="n">
        <v>19819</v>
      </c>
      <c r="Z15" s="15" t="n">
        <v>20024</v>
      </c>
      <c r="AA15" s="15" t="n">
        <v>19791</v>
      </c>
    </row>
    <row r="16" customFormat="false" ht="15" hidden="false" customHeight="true" outlineLevel="0" collapsed="false">
      <c r="A16" s="16" t="s">
        <v>30</v>
      </c>
      <c r="B16" s="17" t="n">
        <v>1000</v>
      </c>
      <c r="C16" s="17" t="n">
        <v>1078</v>
      </c>
      <c r="D16" s="17" t="n">
        <v>1104</v>
      </c>
      <c r="E16" s="17" t="n">
        <v>1196</v>
      </c>
      <c r="F16" s="17" t="n">
        <v>1259</v>
      </c>
      <c r="G16" s="17" t="n">
        <v>1385</v>
      </c>
      <c r="H16" s="17" t="n">
        <v>1532</v>
      </c>
      <c r="I16" s="17" t="n">
        <v>1658</v>
      </c>
      <c r="J16" s="17" t="n">
        <v>1738</v>
      </c>
      <c r="K16" s="17" t="n">
        <v>1814</v>
      </c>
      <c r="L16" s="17" t="n">
        <v>2006</v>
      </c>
      <c r="M16" s="17" t="n">
        <v>2158</v>
      </c>
      <c r="N16" s="17" t="n">
        <v>2279</v>
      </c>
      <c r="O16" s="17" t="n">
        <v>2451</v>
      </c>
      <c r="P16" s="17" t="n">
        <v>2607</v>
      </c>
      <c r="Q16" s="17" t="n">
        <v>2689</v>
      </c>
      <c r="R16" s="17" t="n">
        <v>2700</v>
      </c>
      <c r="S16" s="17" t="n">
        <v>2844</v>
      </c>
      <c r="T16" s="17" t="n">
        <v>2842</v>
      </c>
      <c r="U16" s="17" t="n">
        <v>2886</v>
      </c>
      <c r="V16" s="17" t="n">
        <v>2615</v>
      </c>
      <c r="W16" s="17" t="n">
        <v>2936</v>
      </c>
      <c r="X16" s="17" t="n">
        <v>3147</v>
      </c>
      <c r="Y16" s="17" t="n">
        <v>3249</v>
      </c>
      <c r="Z16" s="17" t="n">
        <v>3403</v>
      </c>
      <c r="AA16" s="17" t="n">
        <v>3440</v>
      </c>
    </row>
    <row r="17" customFormat="false" ht="15" hidden="false" customHeight="true" outlineLevel="0" collapsed="false">
      <c r="A17" s="14" t="s">
        <v>31</v>
      </c>
      <c r="B17" s="15" t="n">
        <v>4300</v>
      </c>
      <c r="C17" s="15" t="n">
        <v>4648</v>
      </c>
      <c r="D17" s="15" t="n">
        <v>5132</v>
      </c>
      <c r="E17" s="15" t="n">
        <v>5486</v>
      </c>
      <c r="F17" s="15" t="n">
        <v>5874</v>
      </c>
      <c r="G17" s="15" t="n">
        <v>6246</v>
      </c>
      <c r="H17" s="15" t="n">
        <v>6748</v>
      </c>
      <c r="I17" s="15" t="n">
        <v>7602</v>
      </c>
      <c r="J17" s="15" t="n">
        <v>8216</v>
      </c>
      <c r="K17" s="15" t="n">
        <v>8424</v>
      </c>
      <c r="L17" s="15" t="n">
        <v>9256</v>
      </c>
      <c r="M17" s="15" t="n">
        <v>9806</v>
      </c>
      <c r="N17" s="15" t="n">
        <v>10411</v>
      </c>
      <c r="O17" s="15" t="n">
        <v>11521</v>
      </c>
      <c r="P17" s="15" t="n">
        <v>12357</v>
      </c>
      <c r="Q17" s="15" t="n">
        <v>12969</v>
      </c>
      <c r="R17" s="15" t="n">
        <v>13742</v>
      </c>
      <c r="S17" s="15" t="n">
        <v>14771</v>
      </c>
      <c r="T17" s="15" t="n">
        <v>15751</v>
      </c>
      <c r="U17" s="15" t="n">
        <v>16895</v>
      </c>
      <c r="V17" s="15" t="n">
        <v>14970</v>
      </c>
      <c r="W17" s="15" t="n">
        <v>17309</v>
      </c>
      <c r="X17" s="15" t="n">
        <v>18616</v>
      </c>
      <c r="Y17" s="15" t="n">
        <v>20638</v>
      </c>
      <c r="Z17" s="15" t="n">
        <v>22057</v>
      </c>
      <c r="AA17" s="15" t="n">
        <v>24085</v>
      </c>
    </row>
    <row r="18" customFormat="false" ht="15" hidden="false" customHeight="true" outlineLevel="0" collapsed="false">
      <c r="A18" s="16" t="s">
        <v>32</v>
      </c>
      <c r="B18" s="17" t="n">
        <v>1560</v>
      </c>
      <c r="C18" s="17" t="n">
        <v>1656</v>
      </c>
      <c r="D18" s="17" t="n">
        <v>1753</v>
      </c>
      <c r="E18" s="17" t="n">
        <v>1817</v>
      </c>
      <c r="F18" s="17" t="n">
        <v>1972</v>
      </c>
      <c r="G18" s="17" t="n">
        <v>2190</v>
      </c>
      <c r="H18" s="17" t="n">
        <v>2346</v>
      </c>
      <c r="I18" s="17" t="n">
        <v>2593</v>
      </c>
      <c r="J18" s="17" t="n">
        <v>2959</v>
      </c>
      <c r="K18" s="17" t="n">
        <v>3178</v>
      </c>
      <c r="L18" s="17" t="n">
        <v>3468</v>
      </c>
      <c r="M18" s="17" t="n">
        <v>3776</v>
      </c>
      <c r="N18" s="17" t="n">
        <v>4135</v>
      </c>
      <c r="O18" s="17" t="n">
        <v>4496</v>
      </c>
      <c r="P18" s="17" t="n">
        <v>4741</v>
      </c>
      <c r="Q18" s="17" t="n">
        <v>4728</v>
      </c>
      <c r="R18" s="17" t="n">
        <v>4747</v>
      </c>
      <c r="S18" s="17" t="n">
        <v>5022</v>
      </c>
      <c r="T18" s="17" t="n">
        <v>5442</v>
      </c>
      <c r="U18" s="17" t="n">
        <v>5962</v>
      </c>
      <c r="V18" s="17" t="n">
        <v>5392</v>
      </c>
      <c r="W18" s="17" t="n">
        <v>6489</v>
      </c>
      <c r="X18" s="17" t="n">
        <v>7121</v>
      </c>
      <c r="Y18" s="17" t="n">
        <v>7594</v>
      </c>
      <c r="Z18" s="17" t="n">
        <v>7730</v>
      </c>
      <c r="AA18" s="17" t="n">
        <v>8114</v>
      </c>
    </row>
    <row r="19" customFormat="false" ht="15" hidden="false" customHeight="true" outlineLevel="0" collapsed="false">
      <c r="A19" s="14" t="s">
        <v>33</v>
      </c>
      <c r="B19" s="15" t="n">
        <v>2000</v>
      </c>
      <c r="C19" s="15" t="n">
        <v>2155</v>
      </c>
      <c r="D19" s="15" t="n">
        <v>2315</v>
      </c>
      <c r="E19" s="15" t="n">
        <v>2551</v>
      </c>
      <c r="F19" s="15" t="n">
        <v>2886</v>
      </c>
      <c r="G19" s="15" t="n">
        <v>3205</v>
      </c>
      <c r="H19" s="15" t="n">
        <v>3591</v>
      </c>
      <c r="I19" s="15" t="n">
        <v>4075</v>
      </c>
      <c r="J19" s="15" t="n">
        <v>4646</v>
      </c>
      <c r="K19" s="15" t="n">
        <v>4937</v>
      </c>
      <c r="L19" s="15" t="n">
        <v>5532</v>
      </c>
      <c r="M19" s="15" t="n">
        <v>6158</v>
      </c>
      <c r="N19" s="15" t="n">
        <v>6717</v>
      </c>
      <c r="O19" s="15" t="n">
        <v>7215</v>
      </c>
      <c r="P19" s="15" t="n">
        <v>7757</v>
      </c>
      <c r="Q19" s="15" t="n">
        <v>7696</v>
      </c>
      <c r="R19" s="15" t="n">
        <v>7496</v>
      </c>
      <c r="S19" s="15" t="n">
        <v>8013</v>
      </c>
      <c r="T19" s="15" t="n">
        <v>8707</v>
      </c>
      <c r="U19" s="15" t="n">
        <v>9759</v>
      </c>
      <c r="V19" s="15" t="n">
        <v>8921</v>
      </c>
      <c r="W19" s="15" t="n">
        <v>9954</v>
      </c>
      <c r="X19" s="15" t="n">
        <v>10666</v>
      </c>
      <c r="Y19" s="15" t="n">
        <v>10942</v>
      </c>
      <c r="Z19" s="15" t="n">
        <v>11470</v>
      </c>
      <c r="AA19" s="15" t="n">
        <v>12640</v>
      </c>
    </row>
    <row r="20" customFormat="false" ht="15" hidden="false" customHeight="true" outlineLevel="0" collapsed="false">
      <c r="A20" s="16" t="s">
        <v>34</v>
      </c>
      <c r="B20" s="17" t="n">
        <v>6300</v>
      </c>
      <c r="C20" s="17" t="n">
        <v>6481</v>
      </c>
      <c r="D20" s="17" t="n">
        <v>7028</v>
      </c>
      <c r="E20" s="17" t="n">
        <v>7575</v>
      </c>
      <c r="F20" s="17" t="n">
        <v>8529</v>
      </c>
      <c r="G20" s="17" t="n">
        <v>9105</v>
      </c>
      <c r="H20" s="17" t="n">
        <v>10107</v>
      </c>
      <c r="I20" s="17" t="n">
        <v>11622</v>
      </c>
      <c r="J20" s="17" t="n">
        <v>12990</v>
      </c>
      <c r="K20" s="17" t="n">
        <v>13423</v>
      </c>
      <c r="L20" s="17" t="n">
        <v>15255</v>
      </c>
      <c r="M20" s="17" t="n">
        <v>16796</v>
      </c>
      <c r="N20" s="17" t="n">
        <v>16247</v>
      </c>
      <c r="O20" s="17" t="n">
        <v>17000</v>
      </c>
      <c r="P20" s="17" t="n">
        <v>17866</v>
      </c>
      <c r="Q20" s="17" t="n">
        <v>17373</v>
      </c>
      <c r="R20" s="17" t="n">
        <v>15494</v>
      </c>
      <c r="S20" s="17" t="n">
        <v>16135</v>
      </c>
      <c r="T20" s="17" t="n">
        <v>16561</v>
      </c>
      <c r="U20" s="17" t="n">
        <v>16658</v>
      </c>
      <c r="V20" s="17" t="n">
        <v>15075</v>
      </c>
      <c r="W20" s="17" t="n">
        <v>16878</v>
      </c>
      <c r="X20" s="17" t="n">
        <v>18636</v>
      </c>
      <c r="Y20" s="17" t="n">
        <v>18868</v>
      </c>
      <c r="Z20" s="17" t="n">
        <v>18550</v>
      </c>
      <c r="AA20" s="17" t="n">
        <v>19539</v>
      </c>
    </row>
    <row r="21" customFormat="false" ht="15" hidden="false" customHeight="true" outlineLevel="0" collapsed="false">
      <c r="A21" s="14" t="s">
        <v>35</v>
      </c>
      <c r="B21" s="15" t="n">
        <v>6900</v>
      </c>
      <c r="C21" s="15" t="n">
        <v>6877</v>
      </c>
      <c r="D21" s="15" t="n">
        <v>6457</v>
      </c>
      <c r="E21" s="15" t="n">
        <v>7010</v>
      </c>
      <c r="F21" s="15" t="n">
        <v>7638</v>
      </c>
      <c r="G21" s="15" t="n">
        <v>8377</v>
      </c>
      <c r="H21" s="15" t="n">
        <v>9379</v>
      </c>
      <c r="I21" s="15" t="n">
        <v>10074</v>
      </c>
      <c r="J21" s="15" t="n">
        <v>11167</v>
      </c>
      <c r="K21" s="15" t="n">
        <v>11325</v>
      </c>
      <c r="L21" s="15" t="n">
        <v>12855</v>
      </c>
      <c r="M21" s="15" t="n">
        <v>14032</v>
      </c>
      <c r="N21" s="15" t="n">
        <v>14780</v>
      </c>
      <c r="O21" s="15" t="n">
        <v>15405</v>
      </c>
      <c r="P21" s="15" t="n">
        <v>16114</v>
      </c>
      <c r="Q21" s="15" t="n">
        <v>16013</v>
      </c>
      <c r="R21" s="15" t="n">
        <v>15861</v>
      </c>
      <c r="S21" s="15" t="n">
        <v>16418</v>
      </c>
      <c r="T21" s="15" t="n">
        <v>16937</v>
      </c>
      <c r="U21" s="15" t="n">
        <v>17653</v>
      </c>
      <c r="V21" s="15" t="n">
        <v>16150</v>
      </c>
      <c r="W21" s="15" t="n">
        <v>18407</v>
      </c>
      <c r="X21" s="15" t="n">
        <v>19765</v>
      </c>
      <c r="Y21" s="15" t="n">
        <v>21151</v>
      </c>
      <c r="Z21" s="15" t="n">
        <v>22176</v>
      </c>
      <c r="AA21" s="15" t="n">
        <v>23628</v>
      </c>
    </row>
    <row r="22" customFormat="false" ht="15" hidden="false" customHeight="true" outlineLevel="0" collapsed="false">
      <c r="A22" s="16" t="s">
        <v>36</v>
      </c>
      <c r="B22" s="17" t="n">
        <v>4800</v>
      </c>
      <c r="C22" s="17" t="n">
        <v>4886</v>
      </c>
      <c r="D22" s="17" t="n">
        <v>4548</v>
      </c>
      <c r="E22" s="17" t="n">
        <v>4325</v>
      </c>
      <c r="F22" s="17" t="n">
        <v>5474</v>
      </c>
      <c r="G22" s="17" t="n">
        <v>6039</v>
      </c>
      <c r="H22" s="17" t="n">
        <v>6818</v>
      </c>
      <c r="I22" s="17" t="n">
        <v>7068</v>
      </c>
      <c r="J22" s="17" t="n">
        <v>7724</v>
      </c>
      <c r="K22" s="17" t="n">
        <v>8190</v>
      </c>
      <c r="L22" s="17" t="n">
        <v>9445</v>
      </c>
      <c r="M22" s="17" t="n">
        <v>9867</v>
      </c>
      <c r="N22" s="17" t="n">
        <v>10768</v>
      </c>
      <c r="O22" s="17" t="n">
        <v>10949</v>
      </c>
      <c r="P22" s="17" t="n">
        <v>11241</v>
      </c>
      <c r="Q22" s="17" t="n">
        <v>8572</v>
      </c>
      <c r="R22" s="17" t="n">
        <v>5284</v>
      </c>
      <c r="S22" s="17" t="n">
        <v>4245</v>
      </c>
      <c r="T22" s="17" t="n">
        <v>3235</v>
      </c>
      <c r="U22" s="17" t="n">
        <v>2064</v>
      </c>
      <c r="V22" s="17" t="n">
        <v>1362</v>
      </c>
      <c r="W22" s="17" t="n">
        <v>1409</v>
      </c>
      <c r="X22" s="17" t="n">
        <v>1461</v>
      </c>
      <c r="Y22" s="17" t="n">
        <v>1427</v>
      </c>
      <c r="Z22" s="17" t="n">
        <v>1412</v>
      </c>
      <c r="AA22" s="17" t="n">
        <v>1340</v>
      </c>
    </row>
    <row r="23" customFormat="false" ht="15" hidden="false" customHeight="true" outlineLevel="0" collapsed="false">
      <c r="A23" s="14" t="s">
        <v>37</v>
      </c>
      <c r="B23" s="15" t="n">
        <v>4100</v>
      </c>
      <c r="C23" s="15" t="n">
        <v>4442</v>
      </c>
      <c r="D23" s="15" t="n">
        <v>4740</v>
      </c>
      <c r="E23" s="15" t="n">
        <v>5029</v>
      </c>
      <c r="F23" s="15" t="n">
        <v>5492</v>
      </c>
      <c r="G23" s="15" t="n">
        <v>6022</v>
      </c>
      <c r="H23" s="15" t="n">
        <v>6644</v>
      </c>
      <c r="I23" s="15" t="n">
        <v>7139</v>
      </c>
      <c r="J23" s="15" t="n">
        <v>7672</v>
      </c>
      <c r="K23" s="15" t="n">
        <v>7935</v>
      </c>
      <c r="L23" s="15" t="n">
        <v>8693</v>
      </c>
      <c r="M23" s="15" t="n">
        <v>9315</v>
      </c>
      <c r="N23" s="15" t="n">
        <v>9738</v>
      </c>
      <c r="O23" s="15" t="n">
        <v>10467</v>
      </c>
      <c r="P23" s="15" t="n">
        <v>11260</v>
      </c>
      <c r="Q23" s="15" t="n">
        <v>11660</v>
      </c>
      <c r="R23" s="15" t="n">
        <v>11943</v>
      </c>
      <c r="S23" s="15" t="n">
        <v>12700</v>
      </c>
      <c r="T23" s="15" t="n">
        <v>13444</v>
      </c>
      <c r="U23" s="15" t="n">
        <v>14167</v>
      </c>
      <c r="V23" s="15" t="n">
        <v>13321</v>
      </c>
      <c r="W23" s="15" t="n">
        <v>15259</v>
      </c>
      <c r="X23" s="15" t="n">
        <v>16662</v>
      </c>
      <c r="Y23" s="15" t="n">
        <v>17860</v>
      </c>
      <c r="Z23" s="15" t="n">
        <v>18797</v>
      </c>
      <c r="AA23" s="15" t="n">
        <v>20322</v>
      </c>
    </row>
  </sheetData>
  <autoFilter ref="A2:AA23"/>
  <mergeCells count="1">
    <mergeCell ref="A1:AA1"/>
  </mergeCells>
  <conditionalFormatting sqref="B3:AA23">
    <cfRule type="colorScale" priority="2">
      <colorScale>
        <cfvo type="min" val="0"/>
        <cfvo type="max" val="0"/>
        <color rgb="FFFFFFFF"/>
        <color rgb="FFBBD7EC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36BAA"/>
    <pageSetUpPr fitToPage="true"/>
  </sheetPr>
  <dimension ref="A1:AA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7" min="2" style="1" width="10"/>
  </cols>
  <sheetData>
    <row r="1" customFormat="false" ht="21.75" hidden="false" customHeight="true" outlineLevel="0" collapsed="false">
      <c r="A1" s="10" t="s">
        <v>40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</row>
    <row r="2" customFormat="false" ht="15" hidden="false" customHeight="true" outlineLevel="0" collapsed="false">
      <c r="A2" s="11" t="s">
        <v>41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customFormat="false" ht="25.5" hidden="false" customHeight="true" outlineLevel="0" collapsed="false">
      <c r="A3" s="12" t="s">
        <v>16</v>
      </c>
      <c r="B3" s="13" t="n">
        <v>2000</v>
      </c>
      <c r="C3" s="13" t="n">
        <v>2001</v>
      </c>
      <c r="D3" s="13" t="n">
        <v>2002</v>
      </c>
      <c r="E3" s="13" t="n">
        <v>2003</v>
      </c>
      <c r="F3" s="13" t="n">
        <v>2004</v>
      </c>
      <c r="G3" s="13" t="n">
        <v>2005</v>
      </c>
      <c r="H3" s="13" t="n">
        <v>2006</v>
      </c>
      <c r="I3" s="13" t="n">
        <v>2007</v>
      </c>
      <c r="J3" s="13" t="n">
        <v>2008</v>
      </c>
      <c r="K3" s="13" t="n">
        <v>2009</v>
      </c>
      <c r="L3" s="13" t="n">
        <v>2010</v>
      </c>
      <c r="M3" s="13" t="n">
        <v>2011</v>
      </c>
      <c r="N3" s="13" t="n">
        <v>2012</v>
      </c>
      <c r="O3" s="13" t="n">
        <v>2013</v>
      </c>
      <c r="P3" s="13" t="n">
        <v>2014</v>
      </c>
      <c r="Q3" s="13" t="n">
        <v>2015</v>
      </c>
      <c r="R3" s="13" t="n">
        <v>2016</v>
      </c>
      <c r="S3" s="13" t="n">
        <v>2017</v>
      </c>
      <c r="T3" s="13" t="n">
        <v>2018</v>
      </c>
      <c r="U3" s="13" t="n">
        <v>2019</v>
      </c>
      <c r="V3" s="13" t="n">
        <v>2020</v>
      </c>
      <c r="W3" s="13" t="n">
        <v>2021</v>
      </c>
      <c r="X3" s="13" t="n">
        <v>2022</v>
      </c>
      <c r="Y3" s="13" t="n">
        <v>2023</v>
      </c>
      <c r="Z3" s="13" t="n">
        <v>2024</v>
      </c>
      <c r="AA3" s="13" t="n">
        <v>2025</v>
      </c>
    </row>
    <row r="4" customFormat="false" ht="15" hidden="false" customHeight="true" outlineLevel="0" collapsed="false">
      <c r="A4" s="14" t="s">
        <v>17</v>
      </c>
      <c r="B4" s="19" t="n">
        <v>7.12</v>
      </c>
      <c r="C4" s="19" t="n">
        <v>0.92</v>
      </c>
      <c r="D4" s="19" t="n">
        <v>2.48</v>
      </c>
      <c r="E4" s="19" t="n">
        <v>6.64</v>
      </c>
      <c r="F4" s="19" t="n">
        <v>6.42</v>
      </c>
      <c r="G4" s="19" t="n">
        <v>4.81</v>
      </c>
      <c r="H4" s="19" t="n">
        <v>7.93</v>
      </c>
      <c r="I4" s="19" t="n">
        <v>5.28</v>
      </c>
      <c r="J4" s="19" t="n">
        <v>5.24</v>
      </c>
      <c r="K4" s="19" t="n">
        <v>2.46</v>
      </c>
      <c r="L4" s="19" t="n">
        <v>6.66</v>
      </c>
      <c r="M4" s="19" t="n">
        <v>2.99</v>
      </c>
      <c r="N4" s="19" t="n">
        <v>3.96</v>
      </c>
      <c r="O4" s="19" t="n">
        <v>5.58</v>
      </c>
      <c r="P4" s="19" t="n">
        <v>1.66</v>
      </c>
      <c r="Q4" s="19" t="n">
        <v>3.3</v>
      </c>
      <c r="R4" s="19" t="n">
        <v>2.56</v>
      </c>
      <c r="S4" s="19" t="n">
        <v>1.45</v>
      </c>
      <c r="T4" s="19" t="n">
        <v>4.67</v>
      </c>
      <c r="U4" s="19" t="n">
        <v>-0.17</v>
      </c>
      <c r="V4" s="19" t="n">
        <v>-8.88</v>
      </c>
      <c r="W4" s="19" t="n">
        <v>12.68</v>
      </c>
      <c r="X4" s="19" t="n">
        <v>0.88</v>
      </c>
      <c r="Y4" s="19" t="n">
        <v>2.66</v>
      </c>
      <c r="Z4" s="19" t="n">
        <v>3.25</v>
      </c>
      <c r="AA4" s="19" t="n">
        <v>2.01</v>
      </c>
    </row>
    <row r="5" customFormat="false" ht="15" hidden="false" customHeight="true" outlineLevel="0" collapsed="false">
      <c r="A5" s="16" t="s">
        <v>18</v>
      </c>
      <c r="B5" s="20" t="n">
        <v>1.25</v>
      </c>
      <c r="C5" s="20" t="n">
        <v>-3.59</v>
      </c>
      <c r="D5" s="20" t="n">
        <v>-9.31</v>
      </c>
      <c r="E5" s="20" t="n">
        <v>11.77</v>
      </c>
      <c r="F5" s="20" t="n">
        <v>0.9</v>
      </c>
      <c r="G5" s="20" t="n">
        <v>-1.83</v>
      </c>
      <c r="H5" s="20" t="n">
        <v>1.5</v>
      </c>
      <c r="I5" s="20" t="n">
        <v>2.1</v>
      </c>
      <c r="J5" s="20" t="n">
        <v>0.09</v>
      </c>
      <c r="K5" s="20" t="n">
        <v>-1.46</v>
      </c>
      <c r="L5" s="20" t="n">
        <v>9.71</v>
      </c>
      <c r="M5" s="20" t="n">
        <v>-0.44</v>
      </c>
      <c r="N5" s="20" t="n">
        <v>3.3</v>
      </c>
      <c r="O5" s="20" t="n">
        <v>6.09</v>
      </c>
      <c r="P5" s="20" t="n">
        <v>3.21</v>
      </c>
      <c r="Q5" s="20" t="n">
        <v>5.12</v>
      </c>
      <c r="R5" s="20" t="n">
        <v>0.26</v>
      </c>
      <c r="S5" s="20" t="n">
        <v>2.55</v>
      </c>
      <c r="T5" s="20" t="n">
        <v>3.15</v>
      </c>
      <c r="U5" s="20" t="n">
        <v>-7.72</v>
      </c>
      <c r="V5" s="20" t="n">
        <v>-2.94</v>
      </c>
      <c r="W5" s="20" t="n">
        <v>12.7</v>
      </c>
      <c r="X5" s="20" t="n">
        <v>5.58</v>
      </c>
      <c r="Y5" s="20" t="n">
        <v>0.75</v>
      </c>
      <c r="Z5" s="20" t="n">
        <v>4.32</v>
      </c>
      <c r="AA5" s="21"/>
    </row>
    <row r="6" customFormat="false" ht="15" hidden="false" customHeight="true" outlineLevel="0" collapsed="false">
      <c r="A6" s="14" t="s">
        <v>19</v>
      </c>
      <c r="B6" s="19" t="n">
        <v>5.06</v>
      </c>
      <c r="C6" s="19" t="n">
        <v>6.71</v>
      </c>
      <c r="D6" s="19" t="n">
        <v>3.16</v>
      </c>
      <c r="E6" s="19" t="n">
        <v>4.74</v>
      </c>
      <c r="F6" s="19" t="n">
        <v>7.27</v>
      </c>
      <c r="G6" s="19" t="n">
        <v>7.69</v>
      </c>
      <c r="H6" s="19" t="n">
        <v>5.39</v>
      </c>
      <c r="I6" s="19" t="n">
        <v>4.29</v>
      </c>
      <c r="J6" s="19" t="n">
        <v>4.73</v>
      </c>
      <c r="K6" s="19" t="n">
        <v>-1.06</v>
      </c>
      <c r="L6" s="19" t="n">
        <v>5.39</v>
      </c>
      <c r="M6" s="19" t="n">
        <v>5.13</v>
      </c>
      <c r="N6" s="19" t="n">
        <v>4.06</v>
      </c>
      <c r="O6" s="19" t="n">
        <v>6.68</v>
      </c>
      <c r="P6" s="19" t="n">
        <v>3.41</v>
      </c>
      <c r="Q6" s="19" t="n">
        <v>0.91</v>
      </c>
      <c r="R6" s="19" t="n">
        <v>3.32</v>
      </c>
      <c r="S6" s="19" t="n">
        <v>4.03</v>
      </c>
      <c r="T6" s="19" t="n">
        <v>2.05</v>
      </c>
      <c r="U6" s="19" t="n">
        <v>2.14</v>
      </c>
      <c r="V6" s="19" t="n">
        <v>-4.15</v>
      </c>
      <c r="W6" s="19" t="n">
        <v>14.44</v>
      </c>
      <c r="X6" s="19" t="n">
        <v>6.35</v>
      </c>
      <c r="Y6" s="19" t="n">
        <v>3</v>
      </c>
      <c r="Z6" s="19" t="n">
        <v>1.36</v>
      </c>
      <c r="AA6" s="19" t="n">
        <v>2.84</v>
      </c>
    </row>
    <row r="7" customFormat="false" ht="15" hidden="false" customHeight="true" outlineLevel="0" collapsed="false">
      <c r="A7" s="16" t="s">
        <v>20</v>
      </c>
      <c r="B7" s="20" t="n">
        <v>4.41</v>
      </c>
      <c r="C7" s="20" t="n">
        <v>2.98</v>
      </c>
      <c r="D7" s="20" t="n">
        <v>2.41</v>
      </c>
      <c r="E7" s="20" t="n">
        <v>0.24</v>
      </c>
      <c r="F7" s="20" t="n">
        <v>2.74</v>
      </c>
      <c r="G7" s="20" t="n">
        <v>0.83</v>
      </c>
      <c r="H7" s="20" t="n">
        <v>1.61</v>
      </c>
      <c r="I7" s="20" t="n">
        <v>2.15</v>
      </c>
      <c r="J7" s="20" t="n">
        <v>3.91</v>
      </c>
      <c r="K7" s="20" t="n">
        <v>-2.17</v>
      </c>
      <c r="L7" s="20" t="n">
        <v>-1.46</v>
      </c>
      <c r="M7" s="20" t="n">
        <v>4.92</v>
      </c>
      <c r="N7" s="20" t="n">
        <v>6.12</v>
      </c>
      <c r="O7" s="20" t="n">
        <v>-0.02</v>
      </c>
      <c r="P7" s="20" t="n">
        <v>1.11</v>
      </c>
      <c r="Q7" s="20" t="n">
        <v>-3.68</v>
      </c>
      <c r="R7" s="20" t="n">
        <v>-3.94</v>
      </c>
      <c r="S7" s="20" t="n">
        <v>2.14</v>
      </c>
      <c r="T7" s="20" t="n">
        <v>2.03</v>
      </c>
      <c r="U7" s="20" t="n">
        <v>4.37</v>
      </c>
      <c r="V7" s="20" t="n">
        <v>-5.34</v>
      </c>
      <c r="W7" s="20" t="n">
        <v>10.51</v>
      </c>
      <c r="X7" s="20" t="n">
        <v>4.19</v>
      </c>
      <c r="Y7" s="20" t="n">
        <v>4.31</v>
      </c>
      <c r="Z7" s="20" t="n">
        <v>2.25</v>
      </c>
      <c r="AA7" s="20" t="n">
        <v>3.54</v>
      </c>
    </row>
    <row r="8" customFormat="false" ht="15" hidden="false" customHeight="true" outlineLevel="0" collapsed="false">
      <c r="A8" s="14" t="s">
        <v>21</v>
      </c>
      <c r="B8" s="19" t="n">
        <v>5.14</v>
      </c>
      <c r="C8" s="19" t="n">
        <v>3.62</v>
      </c>
      <c r="D8" s="19" t="n">
        <v>2.71</v>
      </c>
      <c r="E8" s="19" t="n">
        <v>4.3</v>
      </c>
      <c r="F8" s="19" t="n">
        <v>4.46</v>
      </c>
      <c r="G8" s="19" t="n">
        <v>5.59</v>
      </c>
      <c r="H8" s="19" t="n">
        <v>3.46</v>
      </c>
      <c r="I8" s="19" t="n">
        <v>4.17</v>
      </c>
      <c r="J8" s="19" t="n">
        <v>4.78</v>
      </c>
      <c r="K8" s="19" t="n">
        <v>-0.28</v>
      </c>
      <c r="L8" s="19" t="n">
        <v>6.16</v>
      </c>
      <c r="M8" s="19" t="n">
        <v>4.36</v>
      </c>
      <c r="N8" s="19" t="n">
        <v>2.53</v>
      </c>
      <c r="O8" s="19" t="n">
        <v>2.82</v>
      </c>
      <c r="P8" s="19" t="n">
        <v>3</v>
      </c>
      <c r="Q8" s="19" t="n">
        <v>2.76</v>
      </c>
      <c r="R8" s="19" t="n">
        <v>2.39</v>
      </c>
      <c r="S8" s="19" t="n">
        <v>2.99</v>
      </c>
      <c r="T8" s="19" t="n">
        <v>3.79</v>
      </c>
      <c r="U8" s="19" t="n">
        <v>3.65</v>
      </c>
      <c r="V8" s="19" t="n">
        <v>-3.46</v>
      </c>
      <c r="W8" s="19" t="n">
        <v>10.81</v>
      </c>
      <c r="X8" s="19" t="n">
        <v>4.05</v>
      </c>
      <c r="Y8" s="19" t="n">
        <v>5.53</v>
      </c>
      <c r="Z8" s="19" t="n">
        <v>5.25</v>
      </c>
      <c r="AA8" s="18"/>
    </row>
    <row r="9" customFormat="false" ht="15" hidden="false" customHeight="true" outlineLevel="0" collapsed="false">
      <c r="A9" s="16" t="s">
        <v>22</v>
      </c>
      <c r="B9" s="20" t="n">
        <v>2.99</v>
      </c>
      <c r="C9" s="20" t="n">
        <v>2.06</v>
      </c>
      <c r="D9" s="20" t="n">
        <v>2.63</v>
      </c>
      <c r="E9" s="20" t="n">
        <v>2.87</v>
      </c>
      <c r="F9" s="20" t="n">
        <v>3.73</v>
      </c>
      <c r="G9" s="20" t="n">
        <v>1.27</v>
      </c>
      <c r="H9" s="20" t="n">
        <v>2.03</v>
      </c>
      <c r="I9" s="20" t="n">
        <v>1.31</v>
      </c>
      <c r="J9" s="20" t="n">
        <v>2.26</v>
      </c>
      <c r="K9" s="20" t="n">
        <v>-0.84</v>
      </c>
      <c r="L9" s="20" t="n">
        <v>3.86</v>
      </c>
      <c r="M9" s="20" t="n">
        <v>1.78</v>
      </c>
      <c r="N9" s="20" t="n">
        <v>2.1</v>
      </c>
      <c r="O9" s="20" t="n">
        <v>0.56</v>
      </c>
      <c r="P9" s="20" t="n">
        <v>4.85</v>
      </c>
      <c r="Q9" s="20" t="n">
        <v>-0.03</v>
      </c>
      <c r="R9" s="20" t="n">
        <v>3.5</v>
      </c>
      <c r="S9" s="20" t="n">
        <v>0.37</v>
      </c>
      <c r="T9" s="20" t="n">
        <v>3.81</v>
      </c>
      <c r="U9" s="20" t="n">
        <v>-1.35</v>
      </c>
      <c r="V9" s="20" t="n">
        <v>-7.96</v>
      </c>
      <c r="W9" s="20" t="n">
        <v>4.89</v>
      </c>
      <c r="X9" s="20" t="n">
        <v>0.46</v>
      </c>
      <c r="Y9" s="20" t="n">
        <v>2.58</v>
      </c>
      <c r="Z9" s="20" t="n">
        <v>1.99</v>
      </c>
      <c r="AA9" s="20" t="n">
        <v>-0.73</v>
      </c>
    </row>
    <row r="10" customFormat="false" ht="15" hidden="false" customHeight="true" outlineLevel="0" collapsed="false">
      <c r="A10" s="14" t="s">
        <v>23</v>
      </c>
      <c r="B10" s="19" t="n">
        <v>4.07</v>
      </c>
      <c r="C10" s="19" t="n">
        <v>4.63</v>
      </c>
      <c r="D10" s="19" t="n">
        <v>4.34</v>
      </c>
      <c r="E10" s="19" t="n">
        <v>8.18</v>
      </c>
      <c r="F10" s="19" t="n">
        <v>7.28</v>
      </c>
      <c r="G10" s="19" t="n">
        <v>4.99</v>
      </c>
      <c r="H10" s="19" t="n">
        <v>6.62</v>
      </c>
      <c r="I10" s="19" t="n">
        <v>6.29</v>
      </c>
      <c r="J10" s="19" t="n">
        <v>8.76</v>
      </c>
      <c r="K10" s="19" t="n">
        <v>1.68</v>
      </c>
      <c r="L10" s="19" t="n">
        <v>7.39</v>
      </c>
      <c r="M10" s="19" t="n">
        <v>5.67</v>
      </c>
      <c r="N10" s="19" t="n">
        <v>3.54</v>
      </c>
      <c r="O10" s="19" t="n">
        <v>8.39</v>
      </c>
      <c r="P10" s="19" t="n">
        <v>7.09</v>
      </c>
      <c r="Q10" s="19" t="n">
        <v>4.46</v>
      </c>
      <c r="R10" s="19" t="n">
        <v>4.22</v>
      </c>
      <c r="S10" s="19" t="n">
        <v>6.45</v>
      </c>
      <c r="T10" s="19" t="n">
        <v>3.73</v>
      </c>
      <c r="U10" s="19" t="n">
        <v>6.75</v>
      </c>
      <c r="V10" s="19" t="n">
        <v>-7.65</v>
      </c>
      <c r="W10" s="19" t="n">
        <v>8.17</v>
      </c>
      <c r="X10" s="19" t="n">
        <v>6.93</v>
      </c>
      <c r="Y10" s="19" t="n">
        <v>3.95</v>
      </c>
      <c r="Z10" s="19" t="n">
        <v>5.54</v>
      </c>
      <c r="AA10" s="19" t="n">
        <v>2.29</v>
      </c>
    </row>
    <row r="11" customFormat="false" ht="15" hidden="false" customHeight="true" outlineLevel="0" collapsed="false">
      <c r="A11" s="16" t="s">
        <v>24</v>
      </c>
      <c r="B11" s="20" t="n">
        <v>5.26</v>
      </c>
      <c r="C11" s="20" t="n">
        <v>3.7</v>
      </c>
      <c r="D11" s="20" t="n">
        <v>2.82</v>
      </c>
      <c r="E11" s="20" t="n">
        <v>2.18</v>
      </c>
      <c r="F11" s="20" t="n">
        <v>6.11</v>
      </c>
      <c r="G11" s="20" t="n">
        <v>4.32</v>
      </c>
      <c r="H11" s="20" t="n">
        <v>5.75</v>
      </c>
      <c r="I11" s="20" t="n">
        <v>-0.2</v>
      </c>
      <c r="J11" s="20" t="n">
        <v>4.46</v>
      </c>
      <c r="K11" s="20" t="n">
        <v>-1.42</v>
      </c>
      <c r="L11" s="20" t="n">
        <v>6.25</v>
      </c>
      <c r="M11" s="20" t="n">
        <v>6.17</v>
      </c>
      <c r="N11" s="20" t="n">
        <v>4.97</v>
      </c>
      <c r="O11" s="20" t="n">
        <v>0.83</v>
      </c>
      <c r="P11" s="20" t="n">
        <v>2.25</v>
      </c>
      <c r="Q11" s="20" t="n">
        <v>3.52</v>
      </c>
      <c r="R11" s="20" t="n">
        <v>0.47</v>
      </c>
      <c r="S11" s="20" t="n">
        <v>1.93</v>
      </c>
      <c r="T11" s="20" t="n">
        <v>3.94</v>
      </c>
      <c r="U11" s="20" t="n">
        <v>0.8</v>
      </c>
      <c r="V11" s="20" t="n">
        <v>-6.71</v>
      </c>
      <c r="W11" s="20" t="n">
        <v>5.17</v>
      </c>
      <c r="X11" s="20" t="n">
        <v>9.14</v>
      </c>
      <c r="Y11" s="20" t="n">
        <v>3.17</v>
      </c>
      <c r="Z11" s="20" t="n">
        <v>0.92</v>
      </c>
      <c r="AA11" s="20" t="n">
        <v>-1.29</v>
      </c>
    </row>
    <row r="12" customFormat="false" ht="15" hidden="false" customHeight="true" outlineLevel="0" collapsed="false">
      <c r="A12" s="14" t="s">
        <v>25</v>
      </c>
      <c r="B12" s="19" t="n">
        <v>0.39</v>
      </c>
      <c r="C12" s="19" t="n">
        <v>2.18</v>
      </c>
      <c r="D12" s="19" t="n">
        <v>0.71</v>
      </c>
      <c r="E12" s="19" t="n">
        <v>0.93</v>
      </c>
      <c r="F12" s="19" t="n">
        <v>2.8</v>
      </c>
      <c r="G12" s="19" t="n">
        <v>3.43</v>
      </c>
      <c r="H12" s="19" t="n">
        <v>3</v>
      </c>
      <c r="I12" s="19" t="n">
        <v>2.61</v>
      </c>
      <c r="J12" s="19" t="n">
        <v>2.87</v>
      </c>
      <c r="K12" s="19" t="n">
        <v>-0.98</v>
      </c>
      <c r="L12" s="19" t="n">
        <v>4.21</v>
      </c>
      <c r="M12" s="19" t="n">
        <v>1.88</v>
      </c>
      <c r="N12" s="19" t="n">
        <v>0.59</v>
      </c>
      <c r="O12" s="19" t="n">
        <v>0.76</v>
      </c>
      <c r="P12" s="19" t="n">
        <v>2.84</v>
      </c>
      <c r="Q12" s="19" t="n">
        <v>2.32</v>
      </c>
      <c r="R12" s="19" t="n">
        <v>2.87</v>
      </c>
      <c r="S12" s="19" t="n">
        <v>2.64</v>
      </c>
      <c r="T12" s="19" t="n">
        <v>3.95</v>
      </c>
      <c r="U12" s="19" t="n">
        <v>2.95</v>
      </c>
      <c r="V12" s="19" t="n">
        <v>-7.82</v>
      </c>
      <c r="W12" s="19" t="n">
        <v>9.72</v>
      </c>
      <c r="X12" s="19" t="n">
        <v>5.1</v>
      </c>
      <c r="Y12" s="19" t="n">
        <v>1.94</v>
      </c>
      <c r="Z12" s="19" t="n">
        <v>2.63</v>
      </c>
      <c r="AA12" s="19" t="n">
        <v>4.72</v>
      </c>
    </row>
    <row r="13" customFormat="false" ht="15" hidden="false" customHeight="true" outlineLevel="0" collapsed="false">
      <c r="A13" s="16" t="s">
        <v>26</v>
      </c>
      <c r="B13" s="20" t="n">
        <v>4.17</v>
      </c>
      <c r="C13" s="20" t="n">
        <v>4.79</v>
      </c>
      <c r="D13" s="20" t="n">
        <v>3.12</v>
      </c>
      <c r="E13" s="20" t="n">
        <v>3.31</v>
      </c>
      <c r="F13" s="20" t="n">
        <v>4.52</v>
      </c>
      <c r="G13" s="20" t="n">
        <v>6.09</v>
      </c>
      <c r="H13" s="20" t="n">
        <v>4.62</v>
      </c>
      <c r="I13" s="20" t="n">
        <v>4.42</v>
      </c>
      <c r="J13" s="20" t="n">
        <v>3.27</v>
      </c>
      <c r="K13" s="20" t="n">
        <v>0</v>
      </c>
      <c r="L13" s="20" t="n">
        <v>5.6</v>
      </c>
      <c r="M13" s="20" t="n">
        <v>3.36</v>
      </c>
      <c r="N13" s="20" t="n">
        <v>3.15</v>
      </c>
      <c r="O13" s="20" t="n">
        <v>4.21</v>
      </c>
      <c r="P13" s="20" t="n">
        <v>3.29</v>
      </c>
      <c r="Q13" s="20" t="n">
        <v>5.07</v>
      </c>
      <c r="R13" s="20" t="n">
        <v>2.45</v>
      </c>
      <c r="S13" s="20" t="n">
        <v>3.67</v>
      </c>
      <c r="T13" s="20" t="n">
        <v>6.73</v>
      </c>
      <c r="U13" s="20" t="n">
        <v>3.22</v>
      </c>
      <c r="V13" s="20" t="n">
        <v>-5.67</v>
      </c>
      <c r="W13" s="20" t="n">
        <v>9.32</v>
      </c>
      <c r="X13" s="20" t="n">
        <v>6.82</v>
      </c>
      <c r="Y13" s="20" t="n">
        <v>4.57</v>
      </c>
      <c r="Z13" s="20" t="n">
        <v>1.76</v>
      </c>
      <c r="AA13" s="20" t="n">
        <v>5.24</v>
      </c>
    </row>
    <row r="14" customFormat="false" ht="15" hidden="false" customHeight="true" outlineLevel="0" collapsed="false">
      <c r="A14" s="14" t="s">
        <v>27</v>
      </c>
      <c r="B14" s="19" t="n">
        <v>2.48</v>
      </c>
      <c r="C14" s="19" t="n">
        <v>3.34</v>
      </c>
      <c r="D14" s="19" t="n">
        <v>2.81</v>
      </c>
      <c r="E14" s="19" t="n">
        <v>1.48</v>
      </c>
      <c r="F14" s="19" t="n">
        <v>4.45</v>
      </c>
      <c r="G14" s="19" t="n">
        <v>4.97</v>
      </c>
      <c r="H14" s="19" t="n">
        <v>3.68</v>
      </c>
      <c r="I14" s="19" t="n">
        <v>3.84</v>
      </c>
      <c r="J14" s="19" t="n">
        <v>4.4</v>
      </c>
      <c r="K14" s="19" t="n">
        <v>-0.01</v>
      </c>
      <c r="L14" s="19" t="n">
        <v>5.43</v>
      </c>
      <c r="M14" s="19" t="n">
        <v>0.27</v>
      </c>
      <c r="N14" s="19" t="n">
        <v>2.75</v>
      </c>
      <c r="O14" s="19" t="n">
        <v>3.28</v>
      </c>
      <c r="P14" s="19" t="n">
        <v>5.67</v>
      </c>
      <c r="Q14" s="19" t="n">
        <v>4.14</v>
      </c>
      <c r="R14" s="19" t="n">
        <v>1.54</v>
      </c>
      <c r="S14" s="19" t="n">
        <v>4.86</v>
      </c>
      <c r="T14" s="19" t="n">
        <v>0.31</v>
      </c>
      <c r="U14" s="19" t="n">
        <v>-0.07</v>
      </c>
      <c r="V14" s="19" t="n">
        <v>-6.73</v>
      </c>
      <c r="W14" s="19" t="n">
        <v>11.29</v>
      </c>
      <c r="X14" s="19" t="n">
        <v>8.3</v>
      </c>
      <c r="Y14" s="19" t="n">
        <v>5.94</v>
      </c>
      <c r="Z14" s="19" t="n">
        <v>5.78</v>
      </c>
      <c r="AA14" s="18" t="s">
        <v>38</v>
      </c>
    </row>
    <row r="15" customFormat="false" ht="15" hidden="false" customHeight="true" outlineLevel="0" collapsed="false">
      <c r="A15" s="16" t="s">
        <v>28</v>
      </c>
      <c r="B15" s="20" t="n">
        <v>0.94</v>
      </c>
      <c r="C15" s="20" t="n">
        <v>-0.62</v>
      </c>
      <c r="D15" s="20" t="n">
        <v>1.98</v>
      </c>
      <c r="E15" s="20" t="n">
        <v>-1.53</v>
      </c>
      <c r="F15" s="20" t="n">
        <v>-1.15</v>
      </c>
      <c r="G15" s="20" t="n">
        <v>0.21</v>
      </c>
      <c r="H15" s="20" t="n">
        <v>5.61</v>
      </c>
      <c r="I15" s="20" t="n">
        <v>2.62</v>
      </c>
      <c r="J15" s="20" t="n">
        <v>1.64</v>
      </c>
      <c r="K15" s="20" t="n">
        <v>-3.02</v>
      </c>
      <c r="L15" s="20" t="n">
        <v>3.1</v>
      </c>
      <c r="M15" s="20" t="n">
        <v>0.16</v>
      </c>
      <c r="N15" s="20" t="n">
        <v>2.65</v>
      </c>
      <c r="O15" s="20" t="n">
        <v>1.45</v>
      </c>
      <c r="P15" s="20" t="n">
        <v>0.18</v>
      </c>
      <c r="Q15" s="20" t="n">
        <v>2.18</v>
      </c>
      <c r="R15" s="20" t="n">
        <v>3.59</v>
      </c>
      <c r="S15" s="20" t="n">
        <v>5.03</v>
      </c>
      <c r="T15" s="20" t="n">
        <v>1.29</v>
      </c>
      <c r="U15" s="20" t="n">
        <v>-1.35</v>
      </c>
      <c r="V15" s="20" t="n">
        <v>-12.28</v>
      </c>
      <c r="W15" s="20" t="n">
        <v>7.65</v>
      </c>
      <c r="X15" s="20" t="n">
        <v>2.06</v>
      </c>
      <c r="Y15" s="20" t="n">
        <v>2.56</v>
      </c>
      <c r="Z15" s="20" t="n">
        <v>0.21</v>
      </c>
      <c r="AA15" s="20" t="n">
        <v>1.02</v>
      </c>
    </row>
    <row r="16" customFormat="false" ht="15" hidden="false" customHeight="true" outlineLevel="0" collapsed="false">
      <c r="A16" s="14" t="s">
        <v>29</v>
      </c>
      <c r="B16" s="19" t="n">
        <v>4.8</v>
      </c>
      <c r="C16" s="19" t="n">
        <v>3.91</v>
      </c>
      <c r="D16" s="19" t="n">
        <v>1.44</v>
      </c>
      <c r="E16" s="19" t="n">
        <v>0.53</v>
      </c>
      <c r="F16" s="19" t="n">
        <v>4.27</v>
      </c>
      <c r="G16" s="19" t="n">
        <v>3.31</v>
      </c>
      <c r="H16" s="19" t="n">
        <v>5.44</v>
      </c>
      <c r="I16" s="19" t="n">
        <v>0.77</v>
      </c>
      <c r="J16" s="19" t="n">
        <v>2.94</v>
      </c>
      <c r="K16" s="19" t="n">
        <v>-3.15</v>
      </c>
      <c r="L16" s="19" t="n">
        <v>3.8</v>
      </c>
      <c r="M16" s="19" t="n">
        <v>1.79</v>
      </c>
      <c r="N16" s="19" t="n">
        <v>5.55</v>
      </c>
      <c r="O16" s="19" t="n">
        <v>3.64</v>
      </c>
      <c r="P16" s="19" t="n">
        <v>4.42</v>
      </c>
      <c r="Q16" s="19" t="n">
        <v>0.04</v>
      </c>
      <c r="R16" s="19" t="n">
        <v>3.72</v>
      </c>
      <c r="S16" s="19" t="n">
        <v>3.78</v>
      </c>
      <c r="T16" s="19" t="n">
        <v>0.86</v>
      </c>
      <c r="U16" s="19" t="n">
        <v>0.91</v>
      </c>
      <c r="V16" s="19" t="n">
        <v>-8.61</v>
      </c>
      <c r="W16" s="19" t="n">
        <v>10.99</v>
      </c>
      <c r="X16" s="19" t="n">
        <v>5.5</v>
      </c>
      <c r="Y16" s="19" t="n">
        <v>-0.35</v>
      </c>
      <c r="Z16" s="19" t="n">
        <v>-1.16</v>
      </c>
      <c r="AA16" s="19" t="n">
        <v>-3.37</v>
      </c>
    </row>
    <row r="17" customFormat="false" ht="15" hidden="false" customHeight="true" outlineLevel="0" collapsed="false">
      <c r="A17" s="16" t="s">
        <v>30</v>
      </c>
      <c r="B17" s="20" t="n">
        <v>0.43</v>
      </c>
      <c r="C17" s="20" t="n">
        <v>5.64</v>
      </c>
      <c r="D17" s="20" t="n">
        <v>0.17</v>
      </c>
      <c r="E17" s="20" t="n">
        <v>6.1</v>
      </c>
      <c r="F17" s="20" t="n">
        <v>1.32</v>
      </c>
      <c r="G17" s="20" t="n">
        <v>6</v>
      </c>
      <c r="H17" s="20" t="n">
        <v>6.58</v>
      </c>
      <c r="I17" s="20" t="n">
        <v>4.24</v>
      </c>
      <c r="J17" s="20" t="n">
        <v>0.86</v>
      </c>
      <c r="K17" s="20" t="n">
        <v>0.34</v>
      </c>
      <c r="L17" s="20" t="n">
        <v>6.58</v>
      </c>
      <c r="M17" s="20" t="n">
        <v>3.57</v>
      </c>
      <c r="N17" s="20" t="n">
        <v>3.43</v>
      </c>
      <c r="O17" s="20" t="n">
        <v>5.36</v>
      </c>
      <c r="P17" s="20" t="n">
        <v>4.16</v>
      </c>
      <c r="Q17" s="20" t="n">
        <v>3.64</v>
      </c>
      <c r="R17" s="20" t="n">
        <v>0.9</v>
      </c>
      <c r="S17" s="20" t="n">
        <v>3.15</v>
      </c>
      <c r="T17" s="20" t="n">
        <v>-2.28</v>
      </c>
      <c r="U17" s="20" t="n">
        <v>-0.67</v>
      </c>
      <c r="V17" s="20" t="n">
        <v>-9.59</v>
      </c>
      <c r="W17" s="20" t="n">
        <v>10.09</v>
      </c>
      <c r="X17" s="20" t="n">
        <v>4.97</v>
      </c>
      <c r="Y17" s="20" t="n">
        <v>1.03</v>
      </c>
      <c r="Z17" s="20" t="n">
        <v>2.56</v>
      </c>
      <c r="AA17" s="20" t="n">
        <v>-1.14</v>
      </c>
    </row>
    <row r="18" customFormat="false" ht="15" hidden="false" customHeight="true" outlineLevel="0" collapsed="false">
      <c r="A18" s="14" t="s">
        <v>31</v>
      </c>
      <c r="B18" s="19" t="n">
        <v>5.72</v>
      </c>
      <c r="C18" s="19" t="n">
        <v>5.9</v>
      </c>
      <c r="D18" s="19" t="n">
        <v>8.21</v>
      </c>
      <c r="E18" s="19" t="n">
        <v>4.69</v>
      </c>
      <c r="F18" s="19" t="n">
        <v>3.68</v>
      </c>
      <c r="G18" s="19" t="n">
        <v>2.93</v>
      </c>
      <c r="H18" s="19" t="n">
        <v>4.64</v>
      </c>
      <c r="I18" s="19" t="n">
        <v>9.26</v>
      </c>
      <c r="J18" s="19" t="n">
        <v>4.67</v>
      </c>
      <c r="K18" s="19" t="n">
        <v>-0.87</v>
      </c>
      <c r="L18" s="19" t="n">
        <v>6.48</v>
      </c>
      <c r="M18" s="19" t="n">
        <v>2.54</v>
      </c>
      <c r="N18" s="19" t="n">
        <v>3.98</v>
      </c>
      <c r="O18" s="19" t="n">
        <v>8.46</v>
      </c>
      <c r="P18" s="19" t="n">
        <v>5.05</v>
      </c>
      <c r="Q18" s="19" t="n">
        <v>4.56</v>
      </c>
      <c r="R18" s="19" t="n">
        <v>5.56</v>
      </c>
      <c r="S18" s="19" t="n">
        <v>5.29</v>
      </c>
      <c r="T18" s="19" t="n">
        <v>4.43</v>
      </c>
      <c r="U18" s="19" t="n">
        <v>5.06</v>
      </c>
      <c r="V18" s="19" t="n">
        <v>-11.59</v>
      </c>
      <c r="W18" s="19" t="n">
        <v>13.42</v>
      </c>
      <c r="X18" s="19" t="n">
        <v>5.35</v>
      </c>
      <c r="Y18" s="19" t="n">
        <v>8.66</v>
      </c>
      <c r="Z18" s="19" t="n">
        <v>4.68</v>
      </c>
      <c r="AA18" s="19" t="n">
        <v>6.99</v>
      </c>
    </row>
    <row r="19" customFormat="false" ht="15" hidden="false" customHeight="true" outlineLevel="0" collapsed="false">
      <c r="A19" s="16" t="s">
        <v>32</v>
      </c>
      <c r="B19" s="20" t="n">
        <v>2.7</v>
      </c>
      <c r="C19" s="20" t="n">
        <v>3.95</v>
      </c>
      <c r="D19" s="20" t="n">
        <v>3.67</v>
      </c>
      <c r="E19" s="20" t="n">
        <v>1.47</v>
      </c>
      <c r="F19" s="20" t="n">
        <v>2.42</v>
      </c>
      <c r="G19" s="20" t="n">
        <v>4.94</v>
      </c>
      <c r="H19" s="20" t="n">
        <v>1.01</v>
      </c>
      <c r="I19" s="20" t="n">
        <v>4.45</v>
      </c>
      <c r="J19" s="20" t="n">
        <v>8.03</v>
      </c>
      <c r="K19" s="20" t="n">
        <v>1.28</v>
      </c>
      <c r="L19" s="20" t="n">
        <v>3.03</v>
      </c>
      <c r="M19" s="20" t="n">
        <v>2.78</v>
      </c>
      <c r="N19" s="20" t="n">
        <v>7.3</v>
      </c>
      <c r="O19" s="20" t="n">
        <v>6.53</v>
      </c>
      <c r="P19" s="20" t="n">
        <v>3.25</v>
      </c>
      <c r="Q19" s="20" t="n">
        <v>3.38</v>
      </c>
      <c r="R19" s="20" t="n">
        <v>4.05</v>
      </c>
      <c r="S19" s="20" t="n">
        <v>3.59</v>
      </c>
      <c r="T19" s="20" t="n">
        <v>6.17</v>
      </c>
      <c r="U19" s="20" t="n">
        <v>7.36</v>
      </c>
      <c r="V19" s="20" t="n">
        <v>-9.76</v>
      </c>
      <c r="W19" s="20" t="n">
        <v>18.14</v>
      </c>
      <c r="X19" s="20" t="n">
        <v>7.54</v>
      </c>
      <c r="Y19" s="20" t="n">
        <v>4.44</v>
      </c>
      <c r="Z19" s="20" t="n">
        <v>-0.4</v>
      </c>
      <c r="AA19" s="20" t="n">
        <v>2.77</v>
      </c>
    </row>
    <row r="20" customFormat="false" ht="15" hidden="false" customHeight="true" outlineLevel="0" collapsed="false">
      <c r="A20" s="14" t="s">
        <v>33</v>
      </c>
      <c r="B20" s="19" t="n">
        <v>6.53</v>
      </c>
      <c r="C20" s="19" t="n">
        <v>5.57</v>
      </c>
      <c r="D20" s="19" t="n">
        <v>5.19</v>
      </c>
      <c r="E20" s="19" t="n">
        <v>7.99</v>
      </c>
      <c r="F20" s="19" t="n">
        <v>6.73</v>
      </c>
      <c r="G20" s="19" t="n">
        <v>4.67</v>
      </c>
      <c r="H20" s="19" t="n">
        <v>5.64</v>
      </c>
      <c r="I20" s="19" t="n">
        <v>7.08</v>
      </c>
      <c r="J20" s="19" t="n">
        <v>7.61</v>
      </c>
      <c r="K20" s="19" t="n">
        <v>-0.12</v>
      </c>
      <c r="L20" s="19" t="n">
        <v>5.64</v>
      </c>
      <c r="M20" s="19" t="n">
        <v>4.93</v>
      </c>
      <c r="N20" s="19" t="n">
        <v>6.86</v>
      </c>
      <c r="O20" s="19" t="n">
        <v>5.22</v>
      </c>
      <c r="P20" s="19" t="n">
        <v>5.31</v>
      </c>
      <c r="Q20" s="19" t="n">
        <v>3.31</v>
      </c>
      <c r="R20" s="19" t="n">
        <v>1.51</v>
      </c>
      <c r="S20" s="19" t="n">
        <v>4.69</v>
      </c>
      <c r="T20" s="19" t="n">
        <v>6.46</v>
      </c>
      <c r="U20" s="19" t="n">
        <v>9.89</v>
      </c>
      <c r="V20" s="19" t="n">
        <v>-8.78</v>
      </c>
      <c r="W20" s="19" t="n">
        <v>9.37</v>
      </c>
      <c r="X20" s="19" t="n">
        <v>4.96</v>
      </c>
      <c r="Y20" s="19" t="n">
        <v>0.39</v>
      </c>
      <c r="Z20" s="19" t="n">
        <v>2.62</v>
      </c>
      <c r="AA20" s="19" t="n">
        <v>8</v>
      </c>
    </row>
    <row r="21" customFormat="false" ht="15" hidden="false" customHeight="true" outlineLevel="0" collapsed="false">
      <c r="A21" s="16" t="s">
        <v>34</v>
      </c>
      <c r="B21" s="20" t="n">
        <v>1.09</v>
      </c>
      <c r="C21" s="20" t="n">
        <v>0.68</v>
      </c>
      <c r="D21" s="20" t="n">
        <v>6.25</v>
      </c>
      <c r="E21" s="20" t="n">
        <v>5.58</v>
      </c>
      <c r="F21" s="20" t="n">
        <v>5.6</v>
      </c>
      <c r="G21" s="20" t="n">
        <v>-0.25</v>
      </c>
      <c r="H21" s="20" t="n">
        <v>4</v>
      </c>
      <c r="I21" s="20" t="n">
        <v>7.99</v>
      </c>
      <c r="J21" s="20" t="n">
        <v>4.77</v>
      </c>
      <c r="K21" s="20" t="n">
        <v>-3.67</v>
      </c>
      <c r="L21" s="20" t="n">
        <v>6.65</v>
      </c>
      <c r="M21" s="20" t="n">
        <v>3.1</v>
      </c>
      <c r="N21" s="20" t="n">
        <v>-5.47</v>
      </c>
      <c r="O21" s="20" t="n">
        <v>2.44</v>
      </c>
      <c r="P21" s="20" t="n">
        <v>2.89</v>
      </c>
      <c r="Q21" s="20" t="n">
        <v>2.24</v>
      </c>
      <c r="R21" s="20" t="n">
        <v>-5.82</v>
      </c>
      <c r="S21" s="20" t="n">
        <v>1.93</v>
      </c>
      <c r="T21" s="20" t="n">
        <v>0.44</v>
      </c>
      <c r="U21" s="20" t="n">
        <v>-1.62</v>
      </c>
      <c r="V21" s="20" t="n">
        <v>-9.7</v>
      </c>
      <c r="W21" s="20" t="n">
        <v>9.76</v>
      </c>
      <c r="X21" s="20" t="n">
        <v>8.22</v>
      </c>
      <c r="Y21" s="20" t="n">
        <v>-0.95</v>
      </c>
      <c r="Z21" s="20" t="n">
        <v>-3.89</v>
      </c>
      <c r="AA21" s="20" t="n">
        <v>3.14</v>
      </c>
    </row>
    <row r="22" customFormat="false" ht="15" hidden="false" customHeight="true" outlineLevel="0" collapsed="false">
      <c r="A22" s="14" t="s">
        <v>35</v>
      </c>
      <c r="B22" s="19" t="n">
        <v>2.09</v>
      </c>
      <c r="C22" s="19" t="n">
        <v>-2.54</v>
      </c>
      <c r="D22" s="19" t="n">
        <v>-8.3</v>
      </c>
      <c r="E22" s="19" t="n">
        <v>6.37</v>
      </c>
      <c r="F22" s="19" t="n">
        <v>3.77</v>
      </c>
      <c r="G22" s="19" t="n">
        <v>4.46</v>
      </c>
      <c r="H22" s="19" t="n">
        <v>6.77</v>
      </c>
      <c r="I22" s="19" t="n">
        <v>2.2</v>
      </c>
      <c r="J22" s="19" t="n">
        <v>5.66</v>
      </c>
      <c r="K22" s="19" t="n">
        <v>-3.79</v>
      </c>
      <c r="L22" s="19" t="n">
        <v>8.31</v>
      </c>
      <c r="M22" s="19" t="n">
        <v>3.96</v>
      </c>
      <c r="N22" s="19" t="n">
        <v>3.13</v>
      </c>
      <c r="O22" s="19" t="n">
        <v>2.03</v>
      </c>
      <c r="P22" s="19" t="n">
        <v>2.4</v>
      </c>
      <c r="Q22" s="19" t="n">
        <v>1.68</v>
      </c>
      <c r="R22" s="19" t="n">
        <v>1.35</v>
      </c>
      <c r="S22" s="19" t="n">
        <v>1.31</v>
      </c>
      <c r="T22" s="19" t="n">
        <v>0.96</v>
      </c>
      <c r="U22" s="19" t="n">
        <v>2.02</v>
      </c>
      <c r="V22" s="19" t="n">
        <v>-8.71</v>
      </c>
      <c r="W22" s="19" t="n">
        <v>11.78</v>
      </c>
      <c r="X22" s="19" t="n">
        <v>5.18</v>
      </c>
      <c r="Y22" s="19" t="n">
        <v>4.81</v>
      </c>
      <c r="Z22" s="19" t="n">
        <v>2.65</v>
      </c>
      <c r="AA22" s="18" t="s">
        <v>38</v>
      </c>
    </row>
    <row r="23" customFormat="false" ht="15" hidden="false" customHeight="true" outlineLevel="0" collapsed="false">
      <c r="A23" s="16" t="s">
        <v>36</v>
      </c>
      <c r="B23" s="20" t="n">
        <v>-0.34</v>
      </c>
      <c r="C23" s="20" t="n">
        <v>-0.41</v>
      </c>
      <c r="D23" s="20" t="n">
        <v>-9.11</v>
      </c>
      <c r="E23" s="20" t="n">
        <v>-7.09</v>
      </c>
      <c r="F23" s="20" t="n">
        <v>18.95</v>
      </c>
      <c r="G23" s="20" t="n">
        <v>2.73</v>
      </c>
      <c r="H23" s="20" t="n">
        <v>5.29</v>
      </c>
      <c r="I23" s="20" t="n">
        <v>-3.93</v>
      </c>
      <c r="J23" s="20" t="n">
        <v>1.69</v>
      </c>
      <c r="K23" s="20" t="n">
        <v>-1.57</v>
      </c>
      <c r="L23" s="20" t="n">
        <v>7.72</v>
      </c>
      <c r="M23" s="20" t="n">
        <v>-3.13</v>
      </c>
      <c r="N23" s="20" t="n">
        <v>6.93</v>
      </c>
      <c r="O23" s="20" t="n">
        <v>-0.52</v>
      </c>
      <c r="P23" s="20" t="n">
        <v>0.46</v>
      </c>
      <c r="Q23" s="20" t="n">
        <v>-8.84</v>
      </c>
      <c r="R23" s="20" t="n">
        <v>-23.46</v>
      </c>
      <c r="S23" s="20" t="n">
        <v>-12.86</v>
      </c>
      <c r="T23" s="20" t="n">
        <v>-16.99</v>
      </c>
      <c r="U23" s="20" t="n">
        <v>-29.38</v>
      </c>
      <c r="V23" s="20" t="n">
        <v>-25.22</v>
      </c>
      <c r="W23" s="20" t="n">
        <v>10.27</v>
      </c>
      <c r="X23" s="20" t="n">
        <v>10.48</v>
      </c>
      <c r="Y23" s="20" t="n">
        <v>4.44</v>
      </c>
      <c r="Z23" s="20" t="n">
        <v>5.8</v>
      </c>
      <c r="AA23" s="21" t="s">
        <v>38</v>
      </c>
    </row>
    <row r="24" customFormat="false" ht="15" hidden="false" customHeight="true" outlineLevel="0" collapsed="false">
      <c r="A24" s="14" t="s">
        <v>37</v>
      </c>
      <c r="B24" s="19" t="n">
        <v>1.31</v>
      </c>
      <c r="C24" s="19" t="n">
        <v>6.15</v>
      </c>
      <c r="D24" s="19" t="n">
        <v>4.5</v>
      </c>
      <c r="E24" s="19" t="n">
        <v>3.9</v>
      </c>
      <c r="F24" s="19" t="n">
        <v>5.49</v>
      </c>
      <c r="G24" s="19" t="n">
        <v>5.96</v>
      </c>
      <c r="H24" s="19" t="n">
        <v>6.63</v>
      </c>
      <c r="I24" s="19" t="n">
        <v>3.75</v>
      </c>
      <c r="J24" s="19" t="n">
        <v>3.77</v>
      </c>
      <c r="K24" s="19" t="n">
        <v>-0.28</v>
      </c>
      <c r="L24" s="19" t="n">
        <v>5.86</v>
      </c>
      <c r="M24" s="19" t="n">
        <v>3.45</v>
      </c>
      <c r="N24" s="19" t="n">
        <v>2.34</v>
      </c>
      <c r="O24" s="19" t="n">
        <v>5.29</v>
      </c>
      <c r="P24" s="19" t="n">
        <v>5.37</v>
      </c>
      <c r="Q24" s="19" t="n">
        <v>3.6</v>
      </c>
      <c r="R24" s="19" t="n">
        <v>2.48</v>
      </c>
      <c r="S24" s="19" t="n">
        <v>4.14</v>
      </c>
      <c r="T24" s="19" t="n">
        <v>3.65</v>
      </c>
      <c r="U24" s="19" t="n">
        <v>3.18</v>
      </c>
      <c r="V24" s="19" t="n">
        <v>-6.17</v>
      </c>
      <c r="W24" s="19" t="n">
        <v>12.34</v>
      </c>
      <c r="X24" s="19" t="n">
        <v>6.99</v>
      </c>
      <c r="Y24" s="19" t="n">
        <v>5</v>
      </c>
      <c r="Z24" s="19" t="n">
        <v>3.04</v>
      </c>
      <c r="AA24" s="19" t="n">
        <v>5.91</v>
      </c>
    </row>
  </sheetData>
  <autoFilter ref="A3:AA24"/>
  <mergeCells count="2">
    <mergeCell ref="A1:AA1"/>
    <mergeCell ref="A2:AA2"/>
  </mergeCells>
  <conditionalFormatting sqref="B4:AA24">
    <cfRule type="colorScale" priority="2">
      <colorScale>
        <cfvo type="min" val="0"/>
        <cfvo type="max" val="0"/>
        <color rgb="FFFFFFFF"/>
        <color rgb="FFBBD7EC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36BAA"/>
    <pageSetUpPr fitToPage="true"/>
  </sheetPr>
  <dimension ref="A1:AA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7" min="2" style="1" width="10"/>
  </cols>
  <sheetData>
    <row r="1" customFormat="false" ht="21.75" hidden="false" customHeight="true" outlineLevel="0" collapsed="false">
      <c r="A1" s="10" t="s">
        <v>42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</row>
    <row r="2" customFormat="false" ht="15" hidden="false" customHeight="true" outlineLevel="0" collapsed="false">
      <c r="A2" s="11" t="s">
        <v>43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customFormat="false" ht="25.5" hidden="false" customHeight="true" outlineLevel="0" collapsed="false">
      <c r="A3" s="12" t="s">
        <v>16</v>
      </c>
      <c r="B3" s="13" t="n">
        <v>2000</v>
      </c>
      <c r="C3" s="13" t="n">
        <v>2001</v>
      </c>
      <c r="D3" s="13" t="n">
        <v>2002</v>
      </c>
      <c r="E3" s="13" t="n">
        <v>2003</v>
      </c>
      <c r="F3" s="13" t="n">
        <v>2004</v>
      </c>
      <c r="G3" s="13" t="n">
        <v>2005</v>
      </c>
      <c r="H3" s="13" t="n">
        <v>2006</v>
      </c>
      <c r="I3" s="13" t="n">
        <v>2007</v>
      </c>
      <c r="J3" s="13" t="n">
        <v>2008</v>
      </c>
      <c r="K3" s="13" t="n">
        <v>2009</v>
      </c>
      <c r="L3" s="13" t="n">
        <v>2010</v>
      </c>
      <c r="M3" s="13" t="n">
        <v>2011</v>
      </c>
      <c r="N3" s="13" t="n">
        <v>2012</v>
      </c>
      <c r="O3" s="13" t="n">
        <v>2013</v>
      </c>
      <c r="P3" s="13" t="n">
        <v>2014</v>
      </c>
      <c r="Q3" s="13" t="n">
        <v>2015</v>
      </c>
      <c r="R3" s="13" t="n">
        <v>2016</v>
      </c>
      <c r="S3" s="13" t="n">
        <v>2017</v>
      </c>
      <c r="T3" s="13" t="n">
        <v>2018</v>
      </c>
      <c r="U3" s="13" t="n">
        <v>2019</v>
      </c>
      <c r="V3" s="13" t="n">
        <v>2020</v>
      </c>
      <c r="W3" s="13" t="n">
        <v>2021</v>
      </c>
      <c r="X3" s="13" t="n">
        <v>2022</v>
      </c>
      <c r="Y3" s="13" t="n">
        <v>2023</v>
      </c>
      <c r="Z3" s="13" t="n">
        <v>2024</v>
      </c>
      <c r="AA3" s="13" t="n">
        <v>2025</v>
      </c>
    </row>
    <row r="4" customFormat="false" ht="15" hidden="false" customHeight="true" outlineLevel="0" collapsed="false">
      <c r="A4" s="14" t="s">
        <v>17</v>
      </c>
      <c r="B4" s="15" t="n">
        <v>540</v>
      </c>
      <c r="C4" s="15" t="n">
        <v>515.63</v>
      </c>
      <c r="D4" s="15" t="n">
        <v>526.571</v>
      </c>
      <c r="E4" s="15" t="n">
        <v>528.324</v>
      </c>
      <c r="F4" s="15" t="n">
        <v>537.898</v>
      </c>
      <c r="G4" s="15" t="n">
        <v>516.486</v>
      </c>
      <c r="H4" s="15" t="n">
        <v>511.979</v>
      </c>
      <c r="I4" s="15" t="n">
        <v>539.673</v>
      </c>
      <c r="J4" s="15" t="n">
        <v>569.317</v>
      </c>
      <c r="K4" s="15" t="n">
        <v>579.169</v>
      </c>
      <c r="L4" s="15" t="n">
        <v>619.991</v>
      </c>
      <c r="M4" s="15" t="n">
        <v>630.418</v>
      </c>
      <c r="N4" s="15" t="n">
        <v>647.109</v>
      </c>
      <c r="O4" s="15" t="n">
        <v>662.964</v>
      </c>
      <c r="P4" s="15" t="n">
        <v>668.645</v>
      </c>
      <c r="Q4" s="15" t="n">
        <v>669.296</v>
      </c>
      <c r="R4" s="15" t="n">
        <v>709.823</v>
      </c>
      <c r="S4" s="15" t="n">
        <v>718.13</v>
      </c>
      <c r="T4" s="15" t="n">
        <v>687.362</v>
      </c>
      <c r="U4" s="15" t="n">
        <v>703.569</v>
      </c>
      <c r="V4" s="15" t="n">
        <v>682.988</v>
      </c>
      <c r="W4" s="15" t="n">
        <v>689.852</v>
      </c>
      <c r="X4" s="15" t="n">
        <v>696.177</v>
      </c>
      <c r="Y4" s="15" t="n">
        <v>707.695</v>
      </c>
      <c r="Z4" s="15" t="n">
        <v>644.039</v>
      </c>
      <c r="AA4" s="15" t="n">
        <v>678.187</v>
      </c>
    </row>
    <row r="5" customFormat="false" ht="15" hidden="false" customHeight="true" outlineLevel="0" collapsed="false">
      <c r="A5" s="16" t="s">
        <v>18</v>
      </c>
      <c r="B5" s="17" t="n">
        <v>1</v>
      </c>
      <c r="C5" s="17" t="n">
        <v>0.97</v>
      </c>
      <c r="D5" s="17" t="n">
        <v>1.247</v>
      </c>
      <c r="E5" s="17" t="n">
        <v>1.402</v>
      </c>
      <c r="F5" s="17" t="n">
        <v>1.384</v>
      </c>
      <c r="G5" s="17" t="n">
        <v>1.485</v>
      </c>
      <c r="H5" s="17" t="n">
        <v>1.592</v>
      </c>
      <c r="I5" s="17" t="n">
        <v>1.691</v>
      </c>
      <c r="J5" s="17" t="n">
        <v>1.778</v>
      </c>
      <c r="K5" s="17" t="n">
        <v>1.863</v>
      </c>
      <c r="L5" s="17" t="n">
        <v>1.946</v>
      </c>
      <c r="M5" s="17" t="n">
        <v>1.983</v>
      </c>
      <c r="N5" s="17" t="n">
        <v>2.022</v>
      </c>
      <c r="O5" s="17" t="n">
        <v>2.141</v>
      </c>
      <c r="P5" s="17" t="n">
        <v>2.503</v>
      </c>
      <c r="Q5" s="17" t="n">
        <v>3.047</v>
      </c>
      <c r="R5" s="17" t="n">
        <v>3.901</v>
      </c>
      <c r="S5" s="17" t="n">
        <v>4.588</v>
      </c>
      <c r="T5" s="17" t="n">
        <v>5.717</v>
      </c>
      <c r="U5" s="17" t="n">
        <v>7.797</v>
      </c>
      <c r="V5" s="17" t="n">
        <v>9.44</v>
      </c>
      <c r="W5" s="17" t="n">
        <v>12.061</v>
      </c>
      <c r="X5" s="17" t="n">
        <v>18.753</v>
      </c>
      <c r="Y5" s="17" t="n">
        <v>38.896</v>
      </c>
      <c r="Z5" s="17" t="n">
        <v>105.88</v>
      </c>
      <c r="AA5" s="17" t="n">
        <v>155.877</v>
      </c>
    </row>
    <row r="6" customFormat="false" ht="15" hidden="false" customHeight="true" outlineLevel="0" collapsed="false">
      <c r="A6" s="14" t="s">
        <v>19</v>
      </c>
      <c r="B6" s="15" t="n">
        <v>6.2</v>
      </c>
      <c r="C6" s="15" t="n">
        <v>6.505</v>
      </c>
      <c r="D6" s="15" t="n">
        <v>6.736</v>
      </c>
      <c r="E6" s="15" t="n">
        <v>6.71</v>
      </c>
      <c r="F6" s="15" t="n">
        <v>6.794</v>
      </c>
      <c r="G6" s="15" t="n">
        <v>6.885</v>
      </c>
      <c r="H6" s="15" t="n">
        <v>6.962</v>
      </c>
      <c r="I6" s="15" t="n">
        <v>6.975</v>
      </c>
      <c r="J6" s="15" t="n">
        <v>7.671</v>
      </c>
      <c r="K6" s="15" t="n">
        <v>7.487</v>
      </c>
      <c r="L6" s="15" t="n">
        <v>7.918</v>
      </c>
      <c r="M6" s="15" t="n">
        <v>8.007</v>
      </c>
      <c r="N6" s="15" t="n">
        <v>8.347</v>
      </c>
      <c r="O6" s="15" t="n">
        <v>8.231</v>
      </c>
      <c r="P6" s="15" t="n">
        <v>8.173</v>
      </c>
      <c r="Q6" s="15" t="n">
        <v>8.731</v>
      </c>
      <c r="R6" s="15" t="n">
        <v>8.97</v>
      </c>
      <c r="S6" s="15" t="n">
        <v>9.933</v>
      </c>
      <c r="T6" s="15" t="n">
        <v>10.399</v>
      </c>
      <c r="U6" s="15" t="n">
        <v>10.711</v>
      </c>
      <c r="V6" s="15" t="n">
        <v>10.886</v>
      </c>
      <c r="W6" s="15" t="n">
        <v>11.442</v>
      </c>
      <c r="X6" s="15" t="n">
        <v>12.46</v>
      </c>
      <c r="Y6" s="15" t="n">
        <v>13.139</v>
      </c>
      <c r="Z6" s="15" t="n">
        <v>12.904</v>
      </c>
      <c r="AA6" s="15" t="n">
        <v>13.82</v>
      </c>
    </row>
    <row r="7" customFormat="false" ht="15" hidden="false" customHeight="true" outlineLevel="0" collapsed="false">
      <c r="A7" s="16" t="s">
        <v>20</v>
      </c>
      <c r="B7" s="17" t="n">
        <v>1.83</v>
      </c>
      <c r="C7" s="17" t="n">
        <v>1.805</v>
      </c>
      <c r="D7" s="17" t="n">
        <v>1.982</v>
      </c>
      <c r="E7" s="17" t="n">
        <v>2.029</v>
      </c>
      <c r="F7" s="17" t="n">
        <v>2.07</v>
      </c>
      <c r="G7" s="17" t="n">
        <v>2.223</v>
      </c>
      <c r="H7" s="17" t="n">
        <v>2.308</v>
      </c>
      <c r="I7" s="17" t="n">
        <v>2.395</v>
      </c>
      <c r="J7" s="17" t="n">
        <v>2.491</v>
      </c>
      <c r="K7" s="17" t="n">
        <v>2.455</v>
      </c>
      <c r="L7" s="17" t="n">
        <v>2.61</v>
      </c>
      <c r="M7" s="17" t="n">
        <v>2.671</v>
      </c>
      <c r="N7" s="17" t="n">
        <v>2.644</v>
      </c>
      <c r="O7" s="17" t="n">
        <v>2.788</v>
      </c>
      <c r="P7" s="17" t="n">
        <v>2.935</v>
      </c>
      <c r="Q7" s="17" t="n">
        <v>2.962</v>
      </c>
      <c r="R7" s="17" t="n">
        <v>2.982</v>
      </c>
      <c r="S7" s="17" t="n">
        <v>3.178</v>
      </c>
      <c r="T7" s="17" t="n">
        <v>3.058</v>
      </c>
      <c r="U7" s="17" t="n">
        <v>3.058</v>
      </c>
      <c r="V7" s="17" t="n">
        <v>3.081</v>
      </c>
      <c r="W7" s="17" t="n">
        <v>3.238</v>
      </c>
      <c r="X7" s="17" t="n">
        <v>3.431</v>
      </c>
      <c r="Y7" s="17" t="n">
        <v>3.615</v>
      </c>
      <c r="Z7" s="17" t="n">
        <v>3.953</v>
      </c>
      <c r="AA7" s="17" t="n">
        <v>4.012</v>
      </c>
    </row>
    <row r="8" customFormat="false" ht="15" hidden="false" customHeight="true" outlineLevel="0" collapsed="false">
      <c r="A8" s="14" t="s">
        <v>21</v>
      </c>
      <c r="B8" s="15" t="n">
        <v>2088</v>
      </c>
      <c r="C8" s="15" t="n">
        <v>2045.799</v>
      </c>
      <c r="D8" s="15" t="n">
        <v>2017.629</v>
      </c>
      <c r="E8" s="15" t="n">
        <v>2018.005</v>
      </c>
      <c r="F8" s="15" t="n">
        <v>2116.47</v>
      </c>
      <c r="G8" s="15" t="n">
        <v>2292.774</v>
      </c>
      <c r="H8" s="15" t="n">
        <v>2285.098</v>
      </c>
      <c r="I8" s="15" t="n">
        <v>2318.718</v>
      </c>
      <c r="J8" s="15" t="n">
        <v>2393.073</v>
      </c>
      <c r="K8" s="15" t="n">
        <v>2477.174</v>
      </c>
      <c r="L8" s="15" t="n">
        <v>2496.845</v>
      </c>
      <c r="M8" s="15" t="n">
        <v>2445.633</v>
      </c>
      <c r="N8" s="15" t="n">
        <v>2524.097</v>
      </c>
      <c r="O8" s="15" t="n">
        <v>2668.7</v>
      </c>
      <c r="P8" s="15" t="n">
        <v>2749.984</v>
      </c>
      <c r="Q8" s="15" t="n">
        <v>2771.061</v>
      </c>
      <c r="R8" s="15" t="n">
        <v>2876.233</v>
      </c>
      <c r="S8" s="15" t="n">
        <v>2822.256</v>
      </c>
      <c r="T8" s="15" t="n">
        <v>3067.362</v>
      </c>
      <c r="U8" s="15" t="n">
        <v>3057.46</v>
      </c>
      <c r="V8" s="15" t="n">
        <v>2891.588</v>
      </c>
      <c r="W8" s="15" t="n">
        <v>3161.043</v>
      </c>
      <c r="X8" s="15" t="n">
        <v>3614.749</v>
      </c>
      <c r="Y8" s="15" t="n">
        <v>3612.966</v>
      </c>
      <c r="Z8" s="15" t="n">
        <v>3758.542</v>
      </c>
      <c r="AA8" s="15" t="n">
        <v>4250.815</v>
      </c>
    </row>
    <row r="9" customFormat="false" ht="15" hidden="false" customHeight="true" outlineLevel="0" collapsed="false">
      <c r="A9" s="16" t="s">
        <v>22</v>
      </c>
      <c r="B9" s="17" t="n">
        <v>1</v>
      </c>
      <c r="C9" s="17" t="n">
        <v>1.024</v>
      </c>
      <c r="D9" s="17" t="n">
        <v>1.058</v>
      </c>
      <c r="E9" s="17" t="n">
        <v>0.964</v>
      </c>
      <c r="F9" s="17" t="n">
        <v>0.987</v>
      </c>
      <c r="G9" s="17" t="n">
        <v>0.986</v>
      </c>
      <c r="H9" s="17" t="n">
        <v>1.018</v>
      </c>
      <c r="I9" s="17" t="n">
        <v>0.97</v>
      </c>
      <c r="J9" s="17" t="n">
        <v>0.985</v>
      </c>
      <c r="K9" s="17" t="n">
        <v>1.044</v>
      </c>
      <c r="L9" s="17" t="n">
        <v>1.135</v>
      </c>
      <c r="M9" s="17" t="n">
        <v>1.093</v>
      </c>
      <c r="N9" s="17" t="n">
        <v>1.078</v>
      </c>
      <c r="O9" s="17" t="n">
        <v>1.114</v>
      </c>
      <c r="P9" s="17" t="n">
        <v>1.099</v>
      </c>
      <c r="Q9" s="17" t="n">
        <v>1.035</v>
      </c>
      <c r="R9" s="17" t="n">
        <v>0.991</v>
      </c>
      <c r="S9" s="17" t="n">
        <v>1.018</v>
      </c>
      <c r="T9" s="17" t="n">
        <v>1.096</v>
      </c>
      <c r="U9" s="17" t="n">
        <v>1.13</v>
      </c>
      <c r="V9" s="17" t="n">
        <v>1.154</v>
      </c>
      <c r="W9" s="17" t="n">
        <v>1.205</v>
      </c>
      <c r="X9" s="17" t="n">
        <v>1.235</v>
      </c>
      <c r="Y9" s="17" t="n">
        <v>1.26</v>
      </c>
      <c r="Z9" s="17" t="n">
        <v>1.268</v>
      </c>
      <c r="AA9" s="17" t="n">
        <v>1.325</v>
      </c>
    </row>
    <row r="10" customFormat="false" ht="15" hidden="false" customHeight="true" outlineLevel="0" collapsed="false">
      <c r="A10" s="14" t="s">
        <v>23</v>
      </c>
      <c r="B10" s="15" t="n">
        <v>16.4</v>
      </c>
      <c r="C10" s="15" t="n">
        <v>17.837</v>
      </c>
      <c r="D10" s="15" t="n">
        <v>18.324</v>
      </c>
      <c r="E10" s="15" t="n">
        <v>18.378</v>
      </c>
      <c r="F10" s="15" t="n">
        <v>19.057</v>
      </c>
      <c r="G10" s="15" t="n">
        <v>20.436</v>
      </c>
      <c r="H10" s="15" t="n">
        <v>21.033</v>
      </c>
      <c r="I10" s="15" t="n">
        <v>21.705</v>
      </c>
      <c r="J10" s="15" t="n">
        <v>23.153</v>
      </c>
      <c r="K10" s="15" t="n">
        <v>22.149</v>
      </c>
      <c r="L10" s="15" t="n">
        <v>22.393</v>
      </c>
      <c r="M10" s="15" t="n">
        <v>22.456</v>
      </c>
      <c r="N10" s="15" t="n">
        <v>22.051</v>
      </c>
      <c r="O10" s="15" t="n">
        <v>22.931</v>
      </c>
      <c r="P10" s="15" t="n">
        <v>22.481</v>
      </c>
      <c r="Q10" s="15" t="n">
        <v>23.013</v>
      </c>
      <c r="R10" s="15" t="n">
        <v>25.788</v>
      </c>
      <c r="S10" s="15" t="n">
        <v>25.761</v>
      </c>
      <c r="T10" s="15" t="n">
        <v>28.703</v>
      </c>
      <c r="U10" s="15" t="n">
        <v>28.668</v>
      </c>
      <c r="V10" s="15" t="n">
        <v>28.754</v>
      </c>
      <c r="W10" s="15" t="n">
        <v>30.344</v>
      </c>
      <c r="X10" s="15" t="n">
        <v>32.489</v>
      </c>
      <c r="Y10" s="15" t="n">
        <v>32.812</v>
      </c>
      <c r="Z10" s="15" t="n">
        <v>34.8</v>
      </c>
      <c r="AA10" s="15" t="n">
        <v>36.008</v>
      </c>
    </row>
    <row r="11" customFormat="false" ht="15" hidden="false" customHeight="true" outlineLevel="0" collapsed="false">
      <c r="A11" s="16" t="s">
        <v>24</v>
      </c>
      <c r="B11" s="17" t="n">
        <v>1</v>
      </c>
      <c r="C11" s="17" t="n">
        <v>1</v>
      </c>
      <c r="D11" s="17" t="n">
        <v>1</v>
      </c>
      <c r="E11" s="17" t="n">
        <v>1</v>
      </c>
      <c r="F11" s="17" t="n">
        <v>1</v>
      </c>
      <c r="G11" s="17" t="n">
        <v>1</v>
      </c>
      <c r="H11" s="17" t="n">
        <v>1</v>
      </c>
      <c r="I11" s="17" t="n">
        <v>1</v>
      </c>
      <c r="J11" s="17" t="n">
        <v>1</v>
      </c>
      <c r="K11" s="17" t="n">
        <v>1</v>
      </c>
      <c r="L11" s="17" t="n">
        <v>1</v>
      </c>
      <c r="M11" s="17" t="n">
        <v>1</v>
      </c>
      <c r="N11" s="17" t="n">
        <v>1</v>
      </c>
      <c r="O11" s="17" t="n">
        <v>1</v>
      </c>
      <c r="P11" s="17" t="n">
        <v>1</v>
      </c>
      <c r="Q11" s="17" t="n">
        <v>1</v>
      </c>
      <c r="R11" s="17" t="n">
        <v>1</v>
      </c>
      <c r="S11" s="17" t="n">
        <v>1</v>
      </c>
      <c r="T11" s="17" t="n">
        <v>1</v>
      </c>
      <c r="U11" s="17" t="n">
        <v>1</v>
      </c>
      <c r="V11" s="17" t="n">
        <v>1</v>
      </c>
      <c r="W11" s="17" t="n">
        <v>1</v>
      </c>
      <c r="X11" s="17" t="n">
        <v>1</v>
      </c>
      <c r="Y11" s="17" t="n">
        <v>1</v>
      </c>
      <c r="Z11" s="17" t="n">
        <v>1</v>
      </c>
      <c r="AA11" s="17" t="n">
        <v>1</v>
      </c>
    </row>
    <row r="12" customFormat="false" ht="15" hidden="false" customHeight="true" outlineLevel="0" collapsed="false">
      <c r="A12" s="14" t="s">
        <v>25</v>
      </c>
      <c r="B12" s="15" t="n">
        <v>1</v>
      </c>
      <c r="C12" s="15" t="n">
        <v>1</v>
      </c>
      <c r="D12" s="15" t="n">
        <v>1</v>
      </c>
      <c r="E12" s="15" t="n">
        <v>1</v>
      </c>
      <c r="F12" s="15" t="n">
        <v>1</v>
      </c>
      <c r="G12" s="15" t="n">
        <v>1</v>
      </c>
      <c r="H12" s="15" t="n">
        <v>1</v>
      </c>
      <c r="I12" s="15" t="n">
        <v>1</v>
      </c>
      <c r="J12" s="15" t="n">
        <v>1</v>
      </c>
      <c r="K12" s="15" t="n">
        <v>1</v>
      </c>
      <c r="L12" s="15" t="n">
        <v>1</v>
      </c>
      <c r="M12" s="15" t="n">
        <v>1</v>
      </c>
      <c r="N12" s="15" t="n">
        <v>1</v>
      </c>
      <c r="O12" s="15" t="n">
        <v>1</v>
      </c>
      <c r="P12" s="15" t="n">
        <v>1</v>
      </c>
      <c r="Q12" s="15" t="n">
        <v>1</v>
      </c>
      <c r="R12" s="15" t="n">
        <v>1</v>
      </c>
      <c r="S12" s="15" t="n">
        <v>1</v>
      </c>
      <c r="T12" s="15" t="n">
        <v>1</v>
      </c>
      <c r="U12" s="15" t="n">
        <v>1</v>
      </c>
      <c r="V12" s="15" t="n">
        <v>1</v>
      </c>
      <c r="W12" s="15" t="n">
        <v>1</v>
      </c>
      <c r="X12" s="15" t="n">
        <v>1</v>
      </c>
      <c r="Y12" s="15" t="n">
        <v>1</v>
      </c>
      <c r="Z12" s="15" t="n">
        <v>1</v>
      </c>
      <c r="AA12" s="15" t="n">
        <v>1</v>
      </c>
    </row>
    <row r="13" customFormat="false" ht="15" hidden="false" customHeight="true" outlineLevel="0" collapsed="false">
      <c r="A13" s="16" t="s">
        <v>26</v>
      </c>
      <c r="B13" s="17" t="n">
        <v>7.76</v>
      </c>
      <c r="C13" s="17" t="n">
        <v>7.487</v>
      </c>
      <c r="D13" s="17" t="n">
        <v>7.968</v>
      </c>
      <c r="E13" s="17" t="n">
        <v>7.859</v>
      </c>
      <c r="F13" s="17" t="n">
        <v>8.256</v>
      </c>
      <c r="G13" s="17" t="n">
        <v>8.784</v>
      </c>
      <c r="H13" s="17" t="n">
        <v>8.999</v>
      </c>
      <c r="I13" s="17" t="n">
        <v>8.883</v>
      </c>
      <c r="J13" s="17" t="n">
        <v>9.223</v>
      </c>
      <c r="K13" s="17" t="n">
        <v>9.733</v>
      </c>
      <c r="L13" s="17" t="n">
        <v>10.257</v>
      </c>
      <c r="M13" s="17" t="n">
        <v>10.278</v>
      </c>
      <c r="N13" s="17" t="n">
        <v>10.596</v>
      </c>
      <c r="O13" s="17" t="n">
        <v>11.568</v>
      </c>
      <c r="P13" s="17" t="n">
        <v>12.171</v>
      </c>
      <c r="Q13" s="17" t="n">
        <v>12.841</v>
      </c>
      <c r="R13" s="17" t="n">
        <v>12.413</v>
      </c>
      <c r="S13" s="17" t="n">
        <v>12.965</v>
      </c>
      <c r="T13" s="17" t="n">
        <v>12.957</v>
      </c>
      <c r="U13" s="17" t="n">
        <v>13.499</v>
      </c>
      <c r="V13" s="17" t="n">
        <v>14.108</v>
      </c>
      <c r="W13" s="17" t="n">
        <v>14.863</v>
      </c>
      <c r="X13" s="17" t="n">
        <v>15.654</v>
      </c>
      <c r="Y13" s="17" t="n">
        <v>16.54</v>
      </c>
      <c r="Z13" s="17" t="n">
        <v>16.117</v>
      </c>
      <c r="AA13" s="17" t="n">
        <v>16.634</v>
      </c>
    </row>
    <row r="14" customFormat="false" ht="15" hidden="false" customHeight="true" outlineLevel="0" collapsed="false">
      <c r="A14" s="14" t="s">
        <v>27</v>
      </c>
      <c r="B14" s="15" t="n">
        <v>15</v>
      </c>
      <c r="C14" s="15" t="n">
        <v>15.584</v>
      </c>
      <c r="D14" s="15" t="n">
        <v>16.826</v>
      </c>
      <c r="E14" s="15" t="n">
        <v>16.784</v>
      </c>
      <c r="F14" s="15" t="n">
        <v>16.649</v>
      </c>
      <c r="G14" s="15" t="n">
        <v>17.641</v>
      </c>
      <c r="H14" s="15" t="n">
        <v>17.137</v>
      </c>
      <c r="I14" s="15" t="n">
        <v>17.439</v>
      </c>
      <c r="J14" s="15" t="n">
        <v>19.254</v>
      </c>
      <c r="K14" s="15" t="n">
        <v>20.211</v>
      </c>
      <c r="L14" s="15" t="n">
        <v>19.573</v>
      </c>
      <c r="M14" s="15" t="n">
        <v>20.308</v>
      </c>
      <c r="N14" s="15" t="n">
        <v>21.261</v>
      </c>
      <c r="O14" s="15" t="n">
        <v>22.799</v>
      </c>
      <c r="P14" s="15" t="n">
        <v>24.11</v>
      </c>
      <c r="Q14" s="15" t="n">
        <v>24.467</v>
      </c>
      <c r="R14" s="15" t="n">
        <v>23.38</v>
      </c>
      <c r="S14" s="15" t="n">
        <v>24.155</v>
      </c>
      <c r="T14" s="15" t="n">
        <v>25.756</v>
      </c>
      <c r="U14" s="15" t="n">
        <v>28.251</v>
      </c>
      <c r="V14" s="15" t="n">
        <v>31.065</v>
      </c>
      <c r="W14" s="15" t="n">
        <v>31.273</v>
      </c>
      <c r="X14" s="15" t="n">
        <v>33.603</v>
      </c>
      <c r="Y14" s="15" t="n">
        <v>36.955</v>
      </c>
      <c r="Z14" s="15" t="n">
        <v>38.924</v>
      </c>
      <c r="AA14" s="15" t="n">
        <v>40.904</v>
      </c>
    </row>
    <row r="15" customFormat="false" ht="15" hidden="false" customHeight="true" outlineLevel="0" collapsed="false">
      <c r="A15" s="16" t="s">
        <v>28</v>
      </c>
      <c r="B15" s="17" t="n">
        <v>42</v>
      </c>
      <c r="C15" s="17" t="n">
        <v>42.583</v>
      </c>
      <c r="D15" s="17" t="n">
        <v>42.345</v>
      </c>
      <c r="E15" s="17" t="n">
        <v>43.178</v>
      </c>
      <c r="F15" s="17" t="n">
        <v>47.165</v>
      </c>
      <c r="G15" s="17" t="n">
        <v>50.589</v>
      </c>
      <c r="H15" s="17" t="n">
        <v>55.076</v>
      </c>
      <c r="I15" s="17" t="n">
        <v>56.451</v>
      </c>
      <c r="J15" s="17" t="n">
        <v>59.761</v>
      </c>
      <c r="K15" s="17" t="n">
        <v>57.819</v>
      </c>
      <c r="L15" s="17" t="n">
        <v>58.574</v>
      </c>
      <c r="M15" s="17" t="n">
        <v>62.38</v>
      </c>
      <c r="N15" s="17" t="n">
        <v>66.288</v>
      </c>
      <c r="O15" s="17" t="n">
        <v>72.12</v>
      </c>
      <c r="P15" s="17" t="n">
        <v>73.926</v>
      </c>
      <c r="Q15" s="17" t="n">
        <v>78.82</v>
      </c>
      <c r="R15" s="17" t="n">
        <v>83.043</v>
      </c>
      <c r="S15" s="17" t="n">
        <v>91.897</v>
      </c>
      <c r="T15" s="17" t="n">
        <v>94.171</v>
      </c>
      <c r="U15" s="17" t="n">
        <v>102.281</v>
      </c>
      <c r="V15" s="17" t="n">
        <v>109.17</v>
      </c>
      <c r="W15" s="17" t="n">
        <v>117.962</v>
      </c>
      <c r="X15" s="17" t="n">
        <v>129.116</v>
      </c>
      <c r="Y15" s="17" t="n">
        <v>144.524</v>
      </c>
      <c r="Z15" s="17" t="n">
        <v>161.857</v>
      </c>
      <c r="AA15" s="17" t="n">
        <v>165.836</v>
      </c>
    </row>
    <row r="16" customFormat="false" ht="15" hidden="false" customHeight="true" outlineLevel="0" collapsed="false">
      <c r="A16" s="14" t="s">
        <v>29</v>
      </c>
      <c r="B16" s="15" t="n">
        <v>9.5</v>
      </c>
      <c r="C16" s="15" t="n">
        <v>9.462</v>
      </c>
      <c r="D16" s="15" t="n">
        <v>9.926</v>
      </c>
      <c r="E16" s="15" t="n">
        <v>9.591</v>
      </c>
      <c r="F16" s="15" t="n">
        <v>9.847</v>
      </c>
      <c r="G16" s="15" t="n">
        <v>10.281</v>
      </c>
      <c r="H16" s="15" t="n">
        <v>10.574</v>
      </c>
      <c r="I16" s="15" t="n">
        <v>11.325</v>
      </c>
      <c r="J16" s="15" t="n">
        <v>11.42</v>
      </c>
      <c r="K16" s="15" t="n">
        <v>11.057</v>
      </c>
      <c r="L16" s="15" t="n">
        <v>11.114</v>
      </c>
      <c r="M16" s="15" t="n">
        <v>11.323</v>
      </c>
      <c r="N16" s="15" t="n">
        <v>11.184</v>
      </c>
      <c r="O16" s="15" t="n">
        <v>11.308</v>
      </c>
      <c r="P16" s="15" t="n">
        <v>11.813</v>
      </c>
      <c r="Q16" s="15" t="n">
        <v>12.43</v>
      </c>
      <c r="R16" s="15" t="n">
        <v>13.032</v>
      </c>
      <c r="S16" s="15" t="n">
        <v>13.388</v>
      </c>
      <c r="T16" s="15" t="n">
        <v>14.999</v>
      </c>
      <c r="U16" s="15" t="n">
        <v>15.138</v>
      </c>
      <c r="V16" s="15" t="n">
        <v>16.016</v>
      </c>
      <c r="W16" s="15" t="n">
        <v>16.884</v>
      </c>
      <c r="X16" s="15" t="n">
        <v>17.335</v>
      </c>
      <c r="Y16" s="15" t="n">
        <v>17.924</v>
      </c>
      <c r="Z16" s="15" t="n">
        <v>19.125</v>
      </c>
      <c r="AA16" s="15" t="n">
        <v>19.743</v>
      </c>
    </row>
    <row r="17" customFormat="false" ht="15" hidden="false" customHeight="true" outlineLevel="0" collapsed="false">
      <c r="A17" s="16" t="s">
        <v>30</v>
      </c>
      <c r="B17" s="17" t="n">
        <v>12.7</v>
      </c>
      <c r="C17" s="17" t="n">
        <v>12.797</v>
      </c>
      <c r="D17" s="17" t="n">
        <v>13.29</v>
      </c>
      <c r="E17" s="17" t="n">
        <v>13.486</v>
      </c>
      <c r="F17" s="17" t="n">
        <v>13.908</v>
      </c>
      <c r="G17" s="17" t="n">
        <v>14.08</v>
      </c>
      <c r="H17" s="17" t="n">
        <v>15.954</v>
      </c>
      <c r="I17" s="17" t="n">
        <v>16.851</v>
      </c>
      <c r="J17" s="17" t="n">
        <v>18.015</v>
      </c>
      <c r="K17" s="17" t="n">
        <v>17.935</v>
      </c>
      <c r="L17" s="17" t="n">
        <v>18.268</v>
      </c>
      <c r="M17" s="17" t="n">
        <v>18.576</v>
      </c>
      <c r="N17" s="17" t="n">
        <v>18.43</v>
      </c>
      <c r="O17" s="17" t="n">
        <v>18.737</v>
      </c>
      <c r="P17" s="17" t="n">
        <v>18.359</v>
      </c>
      <c r="Q17" s="17" t="n">
        <v>18.77</v>
      </c>
      <c r="R17" s="17" t="n">
        <v>19.29</v>
      </c>
      <c r="S17" s="17" t="n">
        <v>20.604</v>
      </c>
      <c r="T17" s="17" t="n">
        <v>21.458</v>
      </c>
      <c r="U17" s="17" t="n">
        <v>20.588</v>
      </c>
      <c r="V17" s="17" t="n">
        <v>20.589</v>
      </c>
      <c r="W17" s="17" t="n">
        <v>20.736</v>
      </c>
      <c r="X17" s="17" t="n">
        <v>22.736</v>
      </c>
      <c r="Y17" s="17" t="n">
        <v>23.033</v>
      </c>
      <c r="Z17" s="17" t="n">
        <v>23.053</v>
      </c>
      <c r="AA17" s="17" t="n">
        <v>23.919</v>
      </c>
    </row>
    <row r="18" customFormat="false" ht="15" hidden="false" customHeight="true" outlineLevel="0" collapsed="false">
      <c r="A18" s="14" t="s">
        <v>31</v>
      </c>
      <c r="B18" s="15" t="n">
        <v>1</v>
      </c>
      <c r="C18" s="15" t="n">
        <v>1</v>
      </c>
      <c r="D18" s="15" t="n">
        <v>1</v>
      </c>
      <c r="E18" s="15" t="n">
        <v>1</v>
      </c>
      <c r="F18" s="15" t="n">
        <v>1</v>
      </c>
      <c r="G18" s="15" t="n">
        <v>1</v>
      </c>
      <c r="H18" s="15" t="n">
        <v>1</v>
      </c>
      <c r="I18" s="15" t="n">
        <v>1</v>
      </c>
      <c r="J18" s="15" t="n">
        <v>1</v>
      </c>
      <c r="K18" s="15" t="n">
        <v>1</v>
      </c>
      <c r="L18" s="15" t="n">
        <v>1</v>
      </c>
      <c r="M18" s="15" t="n">
        <v>1</v>
      </c>
      <c r="N18" s="15" t="n">
        <v>1</v>
      </c>
      <c r="O18" s="15" t="n">
        <v>1</v>
      </c>
      <c r="P18" s="15" t="n">
        <v>1</v>
      </c>
      <c r="Q18" s="15" t="n">
        <v>1</v>
      </c>
      <c r="R18" s="15" t="n">
        <v>1</v>
      </c>
      <c r="S18" s="15" t="n">
        <v>1</v>
      </c>
      <c r="T18" s="15" t="n">
        <v>1</v>
      </c>
      <c r="U18" s="15" t="n">
        <v>1</v>
      </c>
      <c r="V18" s="15" t="n">
        <v>1</v>
      </c>
      <c r="W18" s="15" t="n">
        <v>1</v>
      </c>
      <c r="X18" s="15" t="n">
        <v>1</v>
      </c>
      <c r="Y18" s="15" t="n">
        <v>1</v>
      </c>
      <c r="Z18" s="15" t="n">
        <v>1</v>
      </c>
      <c r="AA18" s="15" t="n">
        <v>1</v>
      </c>
    </row>
    <row r="19" customFormat="false" ht="15" hidden="false" customHeight="true" outlineLevel="0" collapsed="false">
      <c r="A19" s="16" t="s">
        <v>32</v>
      </c>
      <c r="B19" s="17" t="n">
        <v>3486</v>
      </c>
      <c r="C19" s="17" t="n">
        <v>3748.002</v>
      </c>
      <c r="D19" s="17" t="n">
        <v>3566.626</v>
      </c>
      <c r="E19" s="17" t="n">
        <v>3698.711</v>
      </c>
      <c r="F19" s="17" t="n">
        <v>3698.282</v>
      </c>
      <c r="G19" s="17" t="n">
        <v>3824.672</v>
      </c>
      <c r="H19" s="17" t="n">
        <v>4213.828</v>
      </c>
      <c r="I19" s="17" t="n">
        <v>4341.043</v>
      </c>
      <c r="J19" s="17" t="n">
        <v>4693.574</v>
      </c>
      <c r="K19" s="17" t="n">
        <v>4618.766</v>
      </c>
      <c r="L19" s="17" t="n">
        <v>4831.037</v>
      </c>
      <c r="M19" s="17" t="n">
        <v>4993.929</v>
      </c>
      <c r="N19" s="17" t="n">
        <v>5089.726</v>
      </c>
      <c r="O19" s="17" t="n">
        <v>5269.589</v>
      </c>
      <c r="P19" s="17" t="n">
        <v>5561.825</v>
      </c>
      <c r="Q19" s="17" t="n">
        <v>6009.886</v>
      </c>
      <c r="R19" s="17" t="n">
        <v>6172.98</v>
      </c>
      <c r="S19" s="17" t="n">
        <v>6672.098</v>
      </c>
      <c r="T19" s="17" t="n">
        <v>6969.127</v>
      </c>
      <c r="U19" s="17" t="n">
        <v>7159.885</v>
      </c>
      <c r="V19" s="17" t="n">
        <v>7318.714</v>
      </c>
      <c r="W19" s="17" t="n">
        <v>7677.37</v>
      </c>
      <c r="X19" s="17" t="n">
        <v>8404.689</v>
      </c>
      <c r="Y19" s="17" t="n">
        <v>8362.35</v>
      </c>
      <c r="Z19" s="17" t="n">
        <v>8954.665</v>
      </c>
      <c r="AA19" s="17" t="n">
        <v>8776.111</v>
      </c>
    </row>
    <row r="20" customFormat="false" ht="15" hidden="false" customHeight="true" outlineLevel="0" collapsed="false">
      <c r="A20" s="14" t="s">
        <v>33</v>
      </c>
      <c r="B20" s="15" t="n">
        <v>3.49</v>
      </c>
      <c r="C20" s="15" t="n">
        <v>3.467</v>
      </c>
      <c r="D20" s="15" t="n">
        <v>3.321</v>
      </c>
      <c r="E20" s="15" t="n">
        <v>3.304</v>
      </c>
      <c r="F20" s="15" t="n">
        <v>3.368</v>
      </c>
      <c r="G20" s="15" t="n">
        <v>3.225</v>
      </c>
      <c r="H20" s="15" t="n">
        <v>3.5</v>
      </c>
      <c r="I20" s="15" t="n">
        <v>3.514</v>
      </c>
      <c r="J20" s="15" t="n">
        <v>3.448</v>
      </c>
      <c r="K20" s="15" t="n">
        <v>3.423</v>
      </c>
      <c r="L20" s="15" t="n">
        <v>3.388</v>
      </c>
      <c r="M20" s="15" t="n">
        <v>3.29</v>
      </c>
      <c r="N20" s="15" t="n">
        <v>3.186</v>
      </c>
      <c r="O20" s="15" t="n">
        <v>3.335</v>
      </c>
      <c r="P20" s="15" t="n">
        <v>3.463</v>
      </c>
      <c r="Q20" s="15" t="n">
        <v>3.486</v>
      </c>
      <c r="R20" s="15" t="n">
        <v>3.45</v>
      </c>
      <c r="S20" s="15" t="n">
        <v>3.467</v>
      </c>
      <c r="T20" s="15" t="n">
        <v>3.476</v>
      </c>
      <c r="U20" s="15" t="n">
        <v>3.436</v>
      </c>
      <c r="V20" s="15" t="n">
        <v>3.455</v>
      </c>
      <c r="W20" s="15" t="n">
        <v>3.474</v>
      </c>
      <c r="X20" s="15" t="n">
        <v>3.529</v>
      </c>
      <c r="Y20" s="15" t="n">
        <v>3.61</v>
      </c>
      <c r="Z20" s="15" t="n">
        <v>3.86</v>
      </c>
      <c r="AA20" s="15" t="n">
        <v>3.889</v>
      </c>
    </row>
    <row r="21" customFormat="false" ht="15" hidden="false" customHeight="true" outlineLevel="0" collapsed="false">
      <c r="A21" s="16" t="s">
        <v>34</v>
      </c>
      <c r="B21" s="17" t="n">
        <v>6.3</v>
      </c>
      <c r="C21" s="17" t="n">
        <v>6.483</v>
      </c>
      <c r="D21" s="17" t="n">
        <v>6.732</v>
      </c>
      <c r="E21" s="17" t="n">
        <v>7.013</v>
      </c>
      <c r="F21" s="17" t="n">
        <v>6.828</v>
      </c>
      <c r="G21" s="17" t="n">
        <v>7.077</v>
      </c>
      <c r="H21" s="17" t="n">
        <v>7.361</v>
      </c>
      <c r="I21" s="17" t="n">
        <v>7.042</v>
      </c>
      <c r="J21" s="17" t="n">
        <v>7.629</v>
      </c>
      <c r="K21" s="17" t="n">
        <v>8.005</v>
      </c>
      <c r="L21" s="17" t="n">
        <v>8.407</v>
      </c>
      <c r="M21" s="17" t="n">
        <v>8.584</v>
      </c>
      <c r="N21" s="17" t="n">
        <v>8.781</v>
      </c>
      <c r="O21" s="17" t="n">
        <v>9.302</v>
      </c>
      <c r="P21" s="17" t="n">
        <v>9.356</v>
      </c>
      <c r="Q21" s="17" t="n">
        <v>9.223</v>
      </c>
      <c r="R21" s="17" t="n">
        <v>9.501</v>
      </c>
      <c r="S21" s="17" t="n">
        <v>9.748</v>
      </c>
      <c r="T21" s="17" t="n">
        <v>9.819</v>
      </c>
      <c r="U21" s="17" t="n">
        <v>10.362</v>
      </c>
      <c r="V21" s="17" t="n">
        <v>10.938</v>
      </c>
      <c r="W21" s="17" t="n">
        <v>11.617</v>
      </c>
      <c r="X21" s="17" t="n">
        <v>11.904</v>
      </c>
      <c r="Y21" s="17" t="n">
        <v>12.459</v>
      </c>
      <c r="Z21" s="17" t="n">
        <v>12.842</v>
      </c>
      <c r="AA21" s="17" t="n">
        <v>14.294</v>
      </c>
    </row>
    <row r="22" customFormat="false" ht="15" hidden="false" customHeight="true" outlineLevel="0" collapsed="false">
      <c r="A22" s="14" t="s">
        <v>35</v>
      </c>
      <c r="B22" s="15" t="n">
        <v>12.1</v>
      </c>
      <c r="C22" s="15" t="n">
        <v>12.764</v>
      </c>
      <c r="D22" s="15" t="n">
        <v>13.656</v>
      </c>
      <c r="E22" s="15" t="n">
        <v>14.858</v>
      </c>
      <c r="F22" s="15" t="n">
        <v>15.636</v>
      </c>
      <c r="G22" s="15" t="n">
        <v>15.793</v>
      </c>
      <c r="H22" s="15" t="n">
        <v>17.953</v>
      </c>
      <c r="I22" s="15" t="n">
        <v>19.704</v>
      </c>
      <c r="J22" s="15" t="n">
        <v>20.845</v>
      </c>
      <c r="K22" s="15" t="n">
        <v>21.776</v>
      </c>
      <c r="L22" s="15" t="n">
        <v>23.046</v>
      </c>
      <c r="M22" s="15" t="n">
        <v>23.017</v>
      </c>
      <c r="N22" s="15" t="n">
        <v>23.367</v>
      </c>
      <c r="O22" s="15" t="n">
        <v>24.513</v>
      </c>
      <c r="P22" s="15" t="n">
        <v>25.972</v>
      </c>
      <c r="Q22" s="15" t="n">
        <v>26.917</v>
      </c>
      <c r="R22" s="15" t="n">
        <v>27.454</v>
      </c>
      <c r="S22" s="15" t="n">
        <v>28.811</v>
      </c>
      <c r="T22" s="15" t="n">
        <v>29.516</v>
      </c>
      <c r="U22" s="15" t="n">
        <v>31.655</v>
      </c>
      <c r="V22" s="15" t="n">
        <v>31.937</v>
      </c>
      <c r="W22" s="15" t="n">
        <v>33.86</v>
      </c>
      <c r="X22" s="15" t="n">
        <v>35.26</v>
      </c>
      <c r="Y22" s="15" t="n">
        <v>39.212</v>
      </c>
      <c r="Z22" s="15" t="n">
        <v>38.162</v>
      </c>
      <c r="AA22" s="15" t="n">
        <v>38.892</v>
      </c>
    </row>
    <row r="23" customFormat="false" ht="15" hidden="false" customHeight="true" outlineLevel="0" collapsed="false">
      <c r="A23" s="16" t="s">
        <v>36</v>
      </c>
      <c r="B23" s="17" t="n">
        <v>0.7</v>
      </c>
      <c r="C23" s="17" t="n">
        <v>0.784</v>
      </c>
      <c r="D23" s="17" t="n">
        <v>0.897</v>
      </c>
      <c r="E23" s="17" t="n">
        <v>1.039</v>
      </c>
      <c r="F23" s="17" t="n">
        <v>1.185</v>
      </c>
      <c r="G23" s="17" t="n">
        <v>1.309</v>
      </c>
      <c r="H23" s="17" t="n">
        <v>1.498</v>
      </c>
      <c r="I23" s="17" t="n">
        <v>1.721</v>
      </c>
      <c r="J23" s="17" t="n">
        <v>1.918</v>
      </c>
      <c r="K23" s="17" t="n">
        <v>2.2</v>
      </c>
      <c r="L23" s="17" t="n">
        <v>2.578</v>
      </c>
      <c r="M23" s="17" t="n">
        <v>2.969</v>
      </c>
      <c r="N23" s="17" t="n">
        <v>3.409</v>
      </c>
      <c r="O23" s="17" t="n">
        <v>4.241</v>
      </c>
      <c r="P23" s="17" t="n">
        <v>6.447</v>
      </c>
      <c r="Q23" s="17" t="n">
        <v>12.598</v>
      </c>
      <c r="R23" s="17" t="n">
        <v>35.377</v>
      </c>
      <c r="S23" s="17" t="n">
        <v>116.133</v>
      </c>
      <c r="T23" s="17" t="n">
        <v>367.615</v>
      </c>
      <c r="U23" s="17" t="n">
        <v>1185.992</v>
      </c>
      <c r="V23" s="17" t="n">
        <v>3930.211</v>
      </c>
      <c r="W23" s="17" t="n">
        <v>10015.521</v>
      </c>
      <c r="X23" s="17" t="n">
        <v>28690.596</v>
      </c>
      <c r="Y23" s="17" t="n">
        <v>71408.197</v>
      </c>
      <c r="Z23" s="17" t="n">
        <v>102364.337</v>
      </c>
      <c r="AA23" s="17" t="n">
        <v>122336.797</v>
      </c>
    </row>
    <row r="24" customFormat="false" ht="15" hidden="false" customHeight="true" outlineLevel="0" collapsed="false">
      <c r="A24" s="14" t="s">
        <v>37</v>
      </c>
      <c r="B24" s="15" t="n">
        <v>308</v>
      </c>
      <c r="C24" s="15" t="n">
        <v>330.58</v>
      </c>
      <c r="D24" s="15" t="n">
        <v>337.613</v>
      </c>
      <c r="E24" s="15" t="n">
        <v>331.662</v>
      </c>
      <c r="F24" s="15" t="n">
        <v>358.219</v>
      </c>
      <c r="G24" s="15" t="n">
        <v>361.452</v>
      </c>
      <c r="H24" s="15" t="n">
        <v>352.561</v>
      </c>
      <c r="I24" s="15" t="n">
        <v>358.983</v>
      </c>
      <c r="J24" s="15" t="n">
        <v>358.569</v>
      </c>
      <c r="K24" s="15" t="n">
        <v>394.965</v>
      </c>
      <c r="L24" s="15" t="n">
        <v>392.308</v>
      </c>
      <c r="M24" s="15" t="n">
        <v>424.277</v>
      </c>
      <c r="N24" s="15" t="n">
        <v>454.513</v>
      </c>
      <c r="O24" s="15" t="n">
        <v>440.468</v>
      </c>
      <c r="P24" s="15" t="n">
        <v>454.835</v>
      </c>
      <c r="Q24" s="15" t="n">
        <v>466.241</v>
      </c>
      <c r="R24" s="15" t="n">
        <v>460.725</v>
      </c>
      <c r="S24" s="15" t="n">
        <v>484.36</v>
      </c>
      <c r="T24" s="15" t="n">
        <v>503.771</v>
      </c>
      <c r="U24" s="15" t="n">
        <v>496.035</v>
      </c>
      <c r="V24" s="15" t="n">
        <v>473.618</v>
      </c>
      <c r="W24" s="15" t="n">
        <v>492.969</v>
      </c>
      <c r="X24" s="15" t="n">
        <v>555.926</v>
      </c>
      <c r="Y24" s="15" t="n">
        <v>561.267</v>
      </c>
      <c r="Z24" s="15" t="n">
        <v>576.815</v>
      </c>
      <c r="AA24" s="15" t="n">
        <v>624.552</v>
      </c>
    </row>
  </sheetData>
  <autoFilter ref="A3:AA24"/>
  <mergeCells count="2">
    <mergeCell ref="A1:AA1"/>
    <mergeCell ref="A2:AA2"/>
  </mergeCells>
  <conditionalFormatting sqref="B4:AA24">
    <cfRule type="colorScale" priority="2">
      <colorScale>
        <cfvo type="min" val="0"/>
        <cfvo type="max" val="0"/>
        <color rgb="FFFFFFFF"/>
        <color rgb="FFBBD7EC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AA7B0"/>
    <pageSetUpPr fitToPage="tru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5"/>
    <col collapsed="false" customWidth="true" hidden="false" outlineLevel="0" max="2" min="2" style="1" width="10"/>
  </cols>
  <sheetData>
    <row r="1" customFormat="false" ht="25.5" hidden="false" customHeight="true" outlineLevel="0" collapsed="false">
      <c r="A1" s="22" t="s">
        <v>44</v>
      </c>
      <c r="B1" s="23" t="s">
        <v>45</v>
      </c>
    </row>
    <row r="2" customFormat="false" ht="15" hidden="false" customHeight="true" outlineLevel="0" collapsed="false">
      <c r="A2" s="14" t="s">
        <v>46</v>
      </c>
      <c r="B2" s="18" t="s">
        <v>0</v>
      </c>
    </row>
    <row r="3" customFormat="false" ht="15" hidden="false" customHeight="true" outlineLevel="0" collapsed="false">
      <c r="A3" s="14" t="s">
        <v>47</v>
      </c>
      <c r="B3" s="18" t="s">
        <v>48</v>
      </c>
    </row>
    <row r="4" customFormat="false" ht="15" hidden="false" customHeight="true" outlineLevel="0" collapsed="false">
      <c r="A4" s="14" t="s">
        <v>49</v>
      </c>
      <c r="B4" s="18" t="s">
        <v>50</v>
      </c>
    </row>
    <row r="5" customFormat="false" ht="15" hidden="false" customHeight="true" outlineLevel="0" collapsed="false">
      <c r="A5" s="14" t="s">
        <v>51</v>
      </c>
      <c r="B5" s="18" t="s">
        <v>52</v>
      </c>
    </row>
    <row r="6" customFormat="false" ht="15" hidden="false" customHeight="true" outlineLevel="0" collapsed="false">
      <c r="A6" s="14" t="s">
        <v>53</v>
      </c>
      <c r="B6" s="18" t="s">
        <v>54</v>
      </c>
    </row>
    <row r="7" customFormat="false" ht="15" hidden="false" customHeight="true" outlineLevel="0" collapsed="false">
      <c r="A7" s="14" t="s">
        <v>55</v>
      </c>
      <c r="B7" s="18" t="s">
        <v>56</v>
      </c>
    </row>
    <row r="8" customFormat="false" ht="15" hidden="false" customHeight="true" outlineLevel="0" collapsed="false">
      <c r="A8" s="14" t="s">
        <v>57</v>
      </c>
      <c r="B8" s="18" t="s">
        <v>58</v>
      </c>
    </row>
    <row r="9" customFormat="false" ht="15" hidden="false" customHeight="true" outlineLevel="0" collapsed="false">
      <c r="A9" s="14" t="s">
        <v>59</v>
      </c>
      <c r="B9" s="18" t="s">
        <v>60</v>
      </c>
    </row>
    <row r="10" customFormat="false" ht="15" hidden="false" customHeight="true" outlineLevel="0" collapsed="false">
      <c r="A10" s="14" t="s">
        <v>61</v>
      </c>
      <c r="B10" s="18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2026-08-31T18:03:26Z</dcterms:created>
  <dc:creator>Unidad de estadísticas</dc:creator>
  <dc:description>Datos sintéticos de ejemplo. No son estadísticas oficiales de ninguna institución.</dc:description>
  <dc:language>en-US</dc:language>
  <cp:lastModifiedBy/>
  <dcterms:modified xsi:type="dcterms:W3CDTF">2026-08-31T18:32:46Z</dcterms:modified>
  <cp:revision>0</cp:revision>
  <dc:subject/>
  <dc:title>Indicadores macroeconómicos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