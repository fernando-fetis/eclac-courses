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overty" sheetId="2" state="visible" r:id="rId4"/>
    <sheet name="ExtremePoverty" sheetId="3" state="visible" r:id="rId5"/>
    <sheet name="Gini_coefficient" sheetId="4" state="visible" r:id="rId6"/>
    <sheet name="Metadata" sheetId="5" state="visible" r:id="rId7"/>
  </sheets>
  <definedNames>
    <definedName function="false" hidden="false" localSheetId="2" name="_xlnm.Print_Titles" vbProcedure="false">ExtremePoverty!$2:$2</definedName>
    <definedName function="false" hidden="true" localSheetId="2" name="_xlnm._FilterDatabase" vbProcedure="false">ExtremePoverty!$A$2:$AA$22</definedName>
    <definedName function="false" hidden="false" localSheetId="3" name="_xlnm.Print_Titles" vbProcedure="false">Gini_coefficient!$2:$2</definedName>
    <definedName function="false" hidden="true" localSheetId="3" name="_xlnm._FilterDatabase" vbProcedure="false">Gini_coefficient!$A$2:$AA$22</definedName>
    <definedName function="false" hidden="false" localSheetId="4" name="_xlnm.Print_Titles" vbProcedure="false">Metadata!$1:$1</definedName>
    <definedName function="false" hidden="false" localSheetId="1" name="_xlnm.Print_Titles" vbProcedure="false">Poverty!$2:$2</definedName>
    <definedName function="false" hidden="true" localSheetId="1" name="_xlnm._FilterDatabase" vbProcedure="false">Poverty!$A$2:$AA$22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<sst xmlns="http://schemas.openxmlformats.org/spreadsheetml/2006/main" count="97" uniqueCount="52">
  <si>
    <t xml:space="preserve">Poverty and inequality</t>
  </si>
  <si>
    <t xml:space="preserve">Computed with formulas over the data sheets in this workbook.</t>
  </si>
  <si>
    <t xml:space="preserve">Sheet</t>
  </si>
  <si>
    <t xml:space="preserve">Data rows</t>
  </si>
  <si>
    <t xml:space="preserve">First year</t>
  </si>
  <si>
    <t xml:space="preserve">Last year</t>
  </si>
  <si>
    <t xml:space="preserve">Average, last year</t>
  </si>
  <si>
    <t xml:space="preserve">Minimum</t>
  </si>
  <si>
    <t xml:space="preserve">Maximum</t>
  </si>
  <si>
    <t xml:space="preserve">Poverty</t>
  </si>
  <si>
    <t xml:space="preserve">ExtremePoverty</t>
  </si>
  <si>
    <t xml:space="preserve">Gini_coefficient</t>
  </si>
  <si>
    <t xml:space="preserve">Blank cells are series with no data for the last year in every country.</t>
  </si>
  <si>
    <t xml:space="preserve">Poverty headcount ratio, national poverty lines (percent)</t>
  </si>
  <si>
    <t xml:space="preserve">Country</t>
  </si>
  <si>
    <t xml:space="preserve">Argentina</t>
  </si>
  <si>
    <t xml:space="preserve">Bolivia (Plur. State of)</t>
  </si>
  <si>
    <t xml:space="preserve">Brazil</t>
  </si>
  <si>
    <t xml:space="preserve">Chile</t>
  </si>
  <si>
    <t xml:space="preserve">Colombia</t>
  </si>
  <si>
    <t xml:space="preserve">Costa Rica</t>
  </si>
  <si>
    <t xml:space="preserve">Dominican Rep.</t>
  </si>
  <si>
    <t xml:space="preserve">Ecuador</t>
  </si>
  <si>
    <t xml:space="preserve">El Salvador</t>
  </si>
  <si>
    <t xml:space="preserve">Guatemala</t>
  </si>
  <si>
    <t xml:space="preserve">..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</si>
  <si>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</si>
  <si>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</si>
  <si>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</si>
  <si>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</si>
  <si>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</si>
  <si>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n/a</t>
  </si>
  <si>
    <t xml:space="preserve">Paraguay</t>
  </si>
  <si>
    <t xml:space="preserve">Peru</t>
  </si>
  <si>
    <t xml:space="preserve">Trinidad &amp; Tobago</t>
  </si>
  <si>
    <t xml:space="preserve">Uruguay</t>
  </si>
  <si>
    <t xml:space="preserve">Venezuela (Bolivarian Rep. of)</t>
  </si>
  <si>
    <t xml:space="preserve">Extreme poverty headcount, expressed as a proportion of the population</t>
  </si>
  <si>
    <t xml:space="preserve">Gini coefficient of per capita household income</t>
  </si>
  <si>
    <t xml:space="preserve">Field</t>
  </si>
  <si>
    <t xml:space="preserve">Description</t>
  </si>
  <si>
    <t xml:space="preserve">Share of the population below the national poverty line, in percent (for example 34.2)</t>
  </si>
  <si>
    <t xml:space="preserve">Extreme poverty</t>
  </si>
  <si>
    <t xml:space="preserve">Share of the population below the extreme poverty line, expressed as a proportion of 1 (for example 0.1250)</t>
  </si>
  <si>
    <t xml:space="preserve">Gini coefficient</t>
  </si>
  <si>
    <t xml:space="preserve">Gini coefficient of household per capita income, scale 0 to 1</t>
  </si>
  <si>
    <t xml:space="preserve">Geography</t>
  </si>
  <si>
    <t xml:space="preserve">National totals. Urban and rural breakdowns are not included in this file.</t>
  </si>
  <si>
    <t xml:space="preserve">Series break</t>
  </si>
  <si>
    <t xml:space="preserve">Household survey redesigns affect comparability before and after 2015 in several countries.</t>
  </si>
  <si>
    <t xml:space="preserve">Missing values</t>
  </si>
  <si>
    <t xml:space="preserve">Empty cells, '..' and 'n/a' all indicate that no survey estimate is available.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</si>
</sst>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0.0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44545F"/>
      <name val="Calibri"/>
      <family val="0"/>
      <charset val="1"/>
    </font>
    <font>
      <b val="true"/>
      <sz val="14"/>
      <color rgb="FF024C7A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  <fill>
      <patternFill patternType="solid">
        <fgColor rgb="FFEEF4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1">
    <dxf>
      <fill>
        <patternFill patternType="solid">
          <fgColor rgb="FF036BAA"/>
          <bgColor rgb="FF000000"/>
        </patternFill>
      </fill>
    </dxf>
    <dxf>
      <fill>
        <patternFill patternType="solid">
          <fgColor rgb="FFEE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E1F1"/>
          <bgColor rgb="FF000000"/>
        </patternFill>
      </fill>
    </dxf>
    <dxf>
      <fill>
        <patternFill patternType="solid">
          <fgColor rgb="FFD0E4F2"/>
          <bgColor rgb="FF000000"/>
        </patternFill>
      </fill>
    </dxf>
    <dxf>
      <fill>
        <patternFill patternType="solid">
          <fgColor rgb="FFD2E5F3"/>
          <bgColor rgb="FF000000"/>
        </patternFill>
      </fill>
    </dxf>
    <dxf>
      <fill>
        <patternFill patternType="solid">
          <fgColor rgb="FFD7E8F4"/>
          <bgColor rgb="FF000000"/>
        </patternFill>
      </fill>
    </dxf>
    <dxf>
      <fill>
        <patternFill patternType="solid">
          <fgColor rgb="FFDBEAF5"/>
          <bgColor rgb="FF000000"/>
        </patternFill>
      </fill>
    </dxf>
    <dxf>
      <fill>
        <patternFill patternType="solid">
          <fgColor rgb="FFDCEBF6"/>
          <bgColor rgb="FF000000"/>
        </patternFill>
      </fill>
    </dxf>
    <dxf>
      <fill>
        <patternFill patternType="solid">
          <fgColor rgb="FFDEECF6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E2EEF7"/>
          <bgColor rgb="FF000000"/>
        </patternFill>
      </fill>
    </dxf>
    <dxf>
      <fill>
        <patternFill patternType="solid">
          <fgColor rgb="FFE7F1F9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F6FAF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CEE2F2"/>
          <bgColor rgb="FF000000"/>
        </patternFill>
      </fill>
    </dxf>
    <dxf>
      <fill>
        <patternFill patternType="solid">
          <fgColor rgb="FFD6E7F4"/>
          <bgColor rgb="FF000000"/>
        </patternFill>
      </fill>
    </dxf>
    <dxf>
      <fill>
        <patternFill patternType="solid">
          <fgColor rgb="FFDAEAF5"/>
          <bgColor rgb="FF000000"/>
        </patternFill>
      </fill>
    </dxf>
    <dxf>
      <fill>
        <patternFill patternType="solid">
          <fgColor rgb="FFDFECF6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E3EFF8"/>
          <bgColor rgb="FF000000"/>
        </patternFill>
      </fill>
    </dxf>
    <dxf>
      <fill>
        <patternFill patternType="solid">
          <fgColor rgb="FFEAF3F9"/>
          <bgColor rgb="FF000000"/>
        </patternFill>
      </fill>
    </dxf>
    <dxf>
      <fill>
        <patternFill patternType="solid">
          <fgColor rgb="FFCFE3F2"/>
          <bgColor rgb="FF000000"/>
        </patternFill>
      </fill>
    </dxf>
    <dxf>
      <fill>
        <patternFill patternType="solid">
          <fgColor rgb="FFD3E5F3"/>
          <bgColor rgb="FF000000"/>
        </patternFill>
      </fill>
    </dxf>
    <dxf>
      <fill>
        <patternFill patternType="solid">
          <fgColor rgb="FFD4E6F3"/>
          <bgColor rgb="FF000000"/>
        </patternFill>
      </fill>
    </dxf>
    <dxf>
      <fill>
        <patternFill patternType="solid">
          <fgColor rgb="FFD9E9F5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E3EFF7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E1EEF7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D5E7F4"/>
          <bgColor rgb="FF000000"/>
        </patternFill>
      </fill>
    </dxf>
    <dxf>
      <fill>
        <patternFill patternType="solid">
          <fgColor rgb="FFE5F0F8"/>
          <bgColor rgb="FF000000"/>
        </patternFill>
      </fill>
    </dxf>
    <dxf>
      <fill>
        <patternFill patternType="solid">
          <fgColor rgb="FFE9F3F9"/>
          <bgColor rgb="FF000000"/>
        </patternFill>
      </fill>
    </dxf>
    <dxf>
      <fill>
        <patternFill patternType="solid">
          <fgColor rgb="FFEBF4FA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D3E6F3"/>
          <bgColor rgb="FF000000"/>
        </patternFill>
      </fill>
    </dxf>
    <dxf>
      <fill>
        <patternFill patternType="solid">
          <fgColor rgb="FFD8E8F5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E6F1F8"/>
          <bgColor rgb="FF000000"/>
        </patternFill>
      </fill>
    </dxf>
    <dxf>
      <fill>
        <patternFill patternType="solid">
          <fgColor rgb="FFEDF5FA"/>
          <bgColor rgb="FF000000"/>
        </patternFill>
      </fill>
    </dxf>
    <dxf>
      <fill>
        <patternFill patternType="solid">
          <fgColor rgb="FFF9FBFE"/>
          <bgColor rgb="FF000000"/>
        </patternFill>
      </fill>
    </dxf>
    <dxf>
      <fill>
        <patternFill patternType="solid">
          <fgColor rgb="FFD5E6F4"/>
          <bgColor rgb="FF000000"/>
        </patternFill>
      </fill>
    </dxf>
    <dxf>
      <fill>
        <patternFill patternType="solid">
          <fgColor rgb="FFDDEBF6"/>
          <bgColor rgb="FF000000"/>
        </patternFill>
      </fill>
    </dxf>
    <dxf>
      <fill>
        <patternFill patternType="solid">
          <fgColor rgb="FFE4F0F8"/>
          <bgColor rgb="FF000000"/>
        </patternFill>
      </fill>
    </dxf>
    <dxf>
      <fill>
        <patternFill patternType="solid">
          <fgColor rgb="FFE8F2F9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EFF6FB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F9FCFE"/>
          <bgColor rgb="FF000000"/>
        </patternFill>
      </fill>
    </dxf>
    <dxf>
      <fill>
        <patternFill patternType="solid">
          <fgColor rgb="FFD8E8F4"/>
          <bgColor rgb="FF000000"/>
        </patternFill>
      </fill>
    </dxf>
    <dxf>
      <fill>
        <patternFill patternType="solid">
          <fgColor rgb="FFDFEDF6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4F9FC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5FAFD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DCEAF6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F0F7FB"/>
          <bgColor rgb="FF000000"/>
        </patternFill>
      </fill>
    </dxf>
    <dxf>
      <fill>
        <patternFill patternType="solid">
          <fgColor rgb="FFC7DEF0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BFDAEE"/>
          <bgColor rgb="FF000000"/>
        </patternFill>
      </fill>
    </dxf>
    <dxf>
      <fill>
        <patternFill patternType="solid">
          <fgColor rgb="FFC0DAEE"/>
          <bgColor rgb="FF000000"/>
        </patternFill>
      </fill>
    </dxf>
    <dxf>
      <fill>
        <patternFill patternType="solid">
          <fgColor rgb="FFC1DBEE"/>
          <bgColor rgb="FF000000"/>
        </patternFill>
      </fill>
    </dxf>
    <dxf>
      <fill>
        <patternFill patternType="solid">
          <fgColor rgb="FFC5DDEF"/>
          <bgColor rgb="FF000000"/>
        </patternFill>
      </fill>
    </dxf>
    <dxf>
      <fill>
        <patternFill patternType="solid">
          <fgColor rgb="FFC6DDEF"/>
          <bgColor rgb="FF000000"/>
        </patternFill>
      </fill>
    </dxf>
    <dxf>
      <fill>
        <patternFill patternType="solid">
          <fgColor rgb="FFCAE0F0"/>
          <bgColor rgb="FF000000"/>
        </patternFill>
      </fill>
    </dxf>
    <dxf>
      <fill>
        <patternFill patternType="solid">
          <fgColor rgb="FFE6F1F9"/>
          <bgColor rgb="FF000000"/>
        </patternFill>
      </fill>
    </dxf>
    <dxf>
      <fill>
        <patternFill patternType="solid">
          <fgColor rgb="FFC3DCEF"/>
          <bgColor rgb="FF000000"/>
        </patternFill>
      </fill>
    </dxf>
    <dxf>
      <fill>
        <patternFill patternType="solid">
          <fgColor rgb="FFC9DFF0"/>
          <bgColor rgb="FF000000"/>
        </patternFill>
      </fill>
    </dxf>
    <dxf>
      <fill>
        <patternFill patternType="solid">
          <fgColor rgb="FFCBE1F1"/>
          <bgColor rgb="FF000000"/>
        </patternFill>
      </fill>
    </dxf>
    <dxf>
      <fill>
        <patternFill patternType="solid">
          <fgColor rgb="FFD0E3F2"/>
          <bgColor rgb="FF000000"/>
        </patternFill>
      </fill>
    </dxf>
    <dxf>
      <fill>
        <patternFill patternType="solid">
          <fgColor rgb="FFCAE0F1"/>
          <bgColor rgb="FF000000"/>
        </patternFill>
      </fill>
    </dxf>
    <dxf>
      <fill>
        <patternFill patternType="solid">
          <fgColor rgb="FFD1E4F3"/>
          <bgColor rgb="FF000000"/>
        </patternFill>
      </fill>
    </dxf>
    <dxf>
      <fill>
        <patternFill patternType="solid">
          <fgColor rgb="FFD7E7F4"/>
          <bgColor rgb="FF000000"/>
        </patternFill>
      </fill>
    </dxf>
    <dxf>
      <fill>
        <patternFill patternType="solid">
          <fgColor rgb="FFC8DFF0"/>
          <bgColor rgb="FF000000"/>
        </patternFill>
      </fill>
    </dxf>
    <dxf>
      <fill>
        <patternFill patternType="solid">
          <fgColor rgb="FFCDE2F1"/>
          <bgColor rgb="FF000000"/>
        </patternFill>
      </fill>
    </dxf>
    <dxf>
      <fill>
        <patternFill patternType="solid">
          <fgColor rgb="FFCEE3F2"/>
          <bgColor rgb="FF000000"/>
        </patternFill>
      </fill>
    </dxf>
    <dxf>
      <fill>
        <patternFill patternType="solid">
          <fgColor rgb="FFDCEAF5"/>
          <bgColor rgb="FF000000"/>
        </patternFill>
      </fill>
    </dxf>
    <dxf>
      <fill>
        <patternFill patternType="solid">
          <fgColor rgb="FFDFEDF7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BDD8ED"/>
          <bgColor rgb="FF000000"/>
        </patternFill>
      </fill>
    </dxf>
    <dxf>
      <fill>
        <patternFill patternType="solid">
          <fgColor rgb="FFBED9ED"/>
          <bgColor rgb="FF000000"/>
        </patternFill>
      </fill>
    </dxf>
    <dxf>
      <fill>
        <patternFill patternType="solid">
          <fgColor rgb="FFC6DEF0"/>
          <bgColor rgb="FF000000"/>
        </patternFill>
      </fill>
    </dxf>
    <dxf>
      <fill>
        <patternFill patternType="solid">
          <fgColor rgb="FFC7DFF0"/>
          <bgColor rgb="FF000000"/>
        </patternFill>
      </fill>
    </dxf>
    <dxf>
      <fill>
        <patternFill patternType="solid">
          <fgColor rgb="FFBCD8ED"/>
          <bgColor rgb="FF000000"/>
        </patternFill>
      </fill>
    </dxf>
    <dxf>
      <fill>
        <patternFill patternType="solid">
          <fgColor rgb="FFC2DBEE"/>
          <bgColor rgb="FF000000"/>
        </patternFill>
      </fill>
    </dxf>
    <dxf>
      <fill>
        <patternFill patternType="solid">
          <fgColor rgb="FFC4DCEF"/>
          <bgColor rgb="FF000000"/>
        </patternFill>
      </fill>
    </dxf>
    <dxf>
      <fill>
        <patternFill patternType="solid">
          <fgColor rgb="FFC9E0F0"/>
          <bgColor rgb="FF000000"/>
        </patternFill>
      </fill>
    </dxf>
    <dxf>
      <fill>
        <patternFill patternType="solid">
          <fgColor rgb="FFBFD9ED"/>
          <bgColor rgb="FF000000"/>
        </patternFill>
      </fill>
    </dxf>
    <dxf>
      <fill>
        <patternFill patternType="solid">
          <fgColor rgb="FFBDD9ED"/>
          <bgColor rgb="FF000000"/>
        </patternFill>
      </fill>
    </dxf>
    <dxf>
      <fill>
        <patternFill patternType="solid">
          <fgColor rgb="FFBFDAED"/>
          <bgColor rgb="FF000000"/>
        </patternFill>
      </fill>
    </dxf>
    <dxf>
      <fill>
        <patternFill patternType="solid">
          <fgColor rgb="FFCBE0F1"/>
          <bgColor rgb="FF000000"/>
        </patternFill>
      </fill>
    </dxf>
    <dxf>
      <fill>
        <patternFill patternType="solid">
          <fgColor rgb="FFC6DEEF"/>
          <bgColor rgb="FF000000"/>
        </patternFill>
      </fill>
    </dxf>
    <dxf>
      <fill>
        <patternFill patternType="solid">
          <fgColor rgb="FFD1E4F2"/>
          <bgColor rgb="FF000000"/>
        </patternFill>
      </fill>
    </dxf>
    <dxf>
      <fill>
        <patternFill patternType="solid">
          <fgColor rgb="FFC4DDEF"/>
          <bgColor rgb="FF000000"/>
        </patternFill>
      </fill>
    </dxf>
    <dxf>
      <fill>
        <patternFill patternType="solid">
          <fgColor rgb="FFF4F8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4F9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C9A227"/>
      <rgbColor rgb="FFFF6600"/>
      <rgbColor rgb="FF4A7EBB"/>
      <rgbColor rgb="FF9AA7B0"/>
      <rgbColor rgb="FF024C7A"/>
      <rgbColor rgb="FF339966"/>
      <rgbColor rgb="FF003300"/>
      <rgbColor rgb="FF333300"/>
      <rgbColor rgb="FF993300"/>
      <rgbColor rgb="FF993366"/>
      <rgbColor rgb="FF44545F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Pobreza y desigualdad · Poverty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Poverty!A3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Poverty!$B$2:$AA$2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Poverty!$B$3:$AA$3</c:f>
              <c:numCache>
                <c:formatCode>0.00</c:formatCode>
                <c:ptCount val="26"/>
                <c:pt idx="0">
                  <c:v>33.2</c:v>
                </c:pt>
                <c:pt idx="1">
                  <c:v>34.3</c:v>
                </c:pt>
                <c:pt idx="2">
                  <c:v>37.2</c:v>
                </c:pt>
                <c:pt idx="3">
                  <c:v>33.5</c:v>
                </c:pt>
                <c:pt idx="4">
                  <c:v>32.7</c:v>
                </c:pt>
                <c:pt idx="5">
                  <c:v>33.7</c:v>
                </c:pt>
                <c:pt idx="6">
                  <c:v>33.3</c:v>
                </c:pt>
                <c:pt idx="7">
                  <c:v>32.9</c:v>
                </c:pt>
                <c:pt idx="8">
                  <c:v>33.2</c:v>
                </c:pt>
                <c:pt idx="9">
                  <c:v>33.2</c:v>
                </c:pt>
                <c:pt idx="10">
                  <c:v>31.2</c:v>
                </c:pt>
                <c:pt idx="11">
                  <c:v>31.6</c:v>
                </c:pt>
                <c:pt idx="12">
                  <c:v>29.9</c:v>
                </c:pt>
                <c:pt idx="13">
                  <c:v>28.1</c:v>
                </c:pt>
                <c:pt idx="14">
                  <c:v>27.4</c:v>
                </c:pt>
                <c:pt idx="15">
                  <c:v>26.6</c:v>
                </c:pt>
                <c:pt idx="16">
                  <c:v>26.4</c:v>
                </c:pt>
                <c:pt idx="17">
                  <c:v>25.8</c:v>
                </c:pt>
                <c:pt idx="18">
                  <c:v>24.9</c:v>
                </c:pt>
                <c:pt idx="19">
                  <c:v>25.9</c:v>
                </c:pt>
                <c:pt idx="20">
                  <c:v>29.8</c:v>
                </c:pt>
                <c:pt idx="21">
                  <c:v>26.5</c:v>
                </c:pt>
                <c:pt idx="22">
                  <c:v>25.5</c:v>
                </c:pt>
                <c:pt idx="23">
                  <c:v>25.4</c:v>
                </c:pt>
                <c:pt idx="24">
                  <c:v>24.7</c:v>
                </c:pt>
                <c:pt idx="25">
                  <c:v>24.5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Poverty!A5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Poverty!$B$2:$AA$2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Poverty!$B$5:$AA$5</c:f>
              <c:numCache>
                <c:formatCode>0.00</c:formatCode>
                <c:ptCount val="26"/>
                <c:pt idx="0">
                  <c:v>37.8</c:v>
                </c:pt>
                <c:pt idx="2">
                  <c:v>34.6</c:v>
                </c:pt>
                <c:pt idx="3">
                  <c:v>33.7</c:v>
                </c:pt>
                <c:pt idx="4">
                  <c:v>33.1</c:v>
                </c:pt>
                <c:pt idx="5">
                  <c:v>33.2</c:v>
                </c:pt>
                <c:pt idx="6">
                  <c:v>32.4</c:v>
                </c:pt>
                <c:pt idx="7">
                  <c:v>31.6</c:v>
                </c:pt>
                <c:pt idx="8">
                  <c:v>30.5</c:v>
                </c:pt>
                <c:pt idx="9">
                  <c:v>30.3</c:v>
                </c:pt>
                <c:pt idx="10">
                  <c:v>30.9</c:v>
                </c:pt>
                <c:pt idx="11">
                  <c:v>29.4</c:v>
                </c:pt>
                <c:pt idx="12">
                  <c:v>27.5</c:v>
                </c:pt>
                <c:pt idx="13">
                  <c:v>27.2</c:v>
                </c:pt>
                <c:pt idx="14">
                  <c:v>26.4</c:v>
                </c:pt>
                <c:pt idx="15">
                  <c:v>27.7</c:v>
                </c:pt>
                <c:pt idx="16">
                  <c:v>28.7</c:v>
                </c:pt>
                <c:pt idx="17">
                  <c:v>28.3</c:v>
                </c:pt>
                <c:pt idx="18">
                  <c:v>27.3</c:v>
                </c:pt>
                <c:pt idx="19">
                  <c:v>25.9</c:v>
                </c:pt>
                <c:pt idx="20">
                  <c:v>31.2</c:v>
                </c:pt>
                <c:pt idx="21">
                  <c:v>28</c:v>
                </c:pt>
                <c:pt idx="22">
                  <c:v>26.1</c:v>
                </c:pt>
                <c:pt idx="23">
                  <c:v>24.9</c:v>
                </c:pt>
                <c:pt idx="24">
                  <c:v>24.5</c:v>
                </c:pt>
                <c:pt idx="25">
                  <c:v>23.4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Poverty!A15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Poverty!$B$2:$AA$2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Poverty!$B$15:$AA$15</c:f>
              <c:numCache>
                <c:formatCode>0.00</c:formatCode>
                <c:ptCount val="26"/>
                <c:pt idx="0">
                  <c:v>43.7</c:v>
                </c:pt>
                <c:pt idx="1">
                  <c:v>42.8</c:v>
                </c:pt>
                <c:pt idx="2">
                  <c:v>42.5</c:v>
                </c:pt>
                <c:pt idx="3">
                  <c:v>41.5</c:v>
                </c:pt>
                <c:pt idx="4">
                  <c:v>39.8</c:v>
                </c:pt>
                <c:pt idx="5">
                  <c:v>38.4</c:v>
                </c:pt>
                <c:pt idx="6">
                  <c:v>37.4</c:v>
                </c:pt>
                <c:pt idx="7">
                  <c:v>36.7</c:v>
                </c:pt>
                <c:pt idx="8">
                  <c:v>35.9</c:v>
                </c:pt>
                <c:pt idx="9">
                  <c:v>36.4</c:v>
                </c:pt>
                <c:pt idx="10">
                  <c:v>35</c:v>
                </c:pt>
                <c:pt idx="11">
                  <c:v>34.9</c:v>
                </c:pt>
                <c:pt idx="12">
                  <c:v>33.2</c:v>
                </c:pt>
                <c:pt idx="13">
                  <c:v>32</c:v>
                </c:pt>
                <c:pt idx="14">
                  <c:v>30.6</c:v>
                </c:pt>
                <c:pt idx="15">
                  <c:v>30.3</c:v>
                </c:pt>
                <c:pt idx="16">
                  <c:v>29.3</c:v>
                </c:pt>
                <c:pt idx="17">
                  <c:v>27.7</c:v>
                </c:pt>
                <c:pt idx="18">
                  <c:v>26.9</c:v>
                </c:pt>
                <c:pt idx="19">
                  <c:v>26.4</c:v>
                </c:pt>
                <c:pt idx="20">
                  <c:v>31.4</c:v>
                </c:pt>
                <c:pt idx="21">
                  <c:v>27.8</c:v>
                </c:pt>
                <c:pt idx="22">
                  <c:v>26.8</c:v>
                </c:pt>
                <c:pt idx="23">
                  <c:v>26.9</c:v>
                </c:pt>
                <c:pt idx="24">
                  <c:v>26.6</c:v>
                </c:pt>
                <c:pt idx="25">
                  <c:v>27.3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148783"/>
        <c:axId val="35189313"/>
      </c:lineChart>
      <c:catAx>
        <c:axId val="69148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89313"/>
        <c:crosses val="autoZero"/>
        <c:auto val="1"/>
        <c:lblAlgn val="ctr"/>
        <c:lblOffset val="100"/>
        <c:noMultiLvlLbl val="0"/>
      </c:catAx>
      <c:valAx>
        <c:axId val="35189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487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9</xdr:col>
      <xdr:colOff>674640</xdr:colOff>
      <xdr:row>40</xdr:row>
      <xdr:rowOff>11520</xdr:rowOff>
    </xdr:to>
    <xdr:graphicFrame>
      <xdr:nvGraphicFramePr>
        <xdr:cNvPr id="1" name="Chart 1"/>
        <xdr:cNvGraphicFramePr/>
      </xdr:nvGraphicFramePr>
      <xdr:xfrm>
        <a:off x="0" y="479124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etadata_3" displayName="t_Metadata_3" ref="A1:B7" headerRowCount="1" totalsRowCount="0" totalsRowShown="0">
  <autoFilter ref="A1:B7"/>
  <tableColumns count="2">
    <tableColumn id="1" name="Field"/>
    <tableColumn id="2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9"/>
    <col collapsed="false" customWidth="true" hidden="false" outlineLevel="0" max="7" min="6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COUNTA(Poverty!A3:A22)</f>
        <v>20</v>
      </c>
      <c r="C5" s="7" t="n">
        <f aca="false">Poverty!B2</f>
        <v>2000</v>
      </c>
      <c r="D5" s="7" t="n">
        <f aca="false">Poverty!AA2</f>
        <v>2025</v>
      </c>
      <c r="E5" s="8" t="n">
        <f aca="false">IFERROR(AVERAGE(Poverty!AA3:AA22),"")</f>
        <v>24.785</v>
      </c>
      <c r="F5" s="8" t="n">
        <f aca="false">IFERROR(MIN(Poverty!B3:AA22),"")</f>
        <v>9.3</v>
      </c>
      <c r="G5" s="8" t="n">
        <f aca="false">IFERROR(MAX(Poverty!B3:AA22),"")</f>
        <v>88</v>
      </c>
    </row>
    <row r="6" customFormat="false" ht="15" hidden="false" customHeight="true" outlineLevel="0" collapsed="false">
      <c r="A6" s="5" t="s">
        <v>10</v>
      </c>
      <c r="B6" s="6" t="n">
        <f aca="false">COUNTA(ExtremePoverty!A3:A22)</f>
        <v>20</v>
      </c>
      <c r="C6" s="7" t="n">
        <f aca="false">ExtremePoverty!B2</f>
        <v>2000</v>
      </c>
      <c r="D6" s="7" t="n">
        <f aca="false">ExtremePoverty!AA2</f>
        <v>2025</v>
      </c>
      <c r="E6" s="8" t="n">
        <f aca="false">IFERROR(AVERAGE(ExtremePoverty!AA3:AA22),"")</f>
        <v>0.075095</v>
      </c>
      <c r="F6" s="8" t="n">
        <f aca="false">IFERROR(MIN(ExtremePoverty!B3:AA22),"")</f>
        <v>0.0261</v>
      </c>
      <c r="G6" s="8" t="n">
        <f aca="false">IFERROR(MAX(ExtremePoverty!B3:AA22),"")</f>
        <v>0.2683</v>
      </c>
    </row>
    <row r="7" customFormat="false" ht="15" hidden="false" customHeight="true" outlineLevel="0" collapsed="false">
      <c r="A7" s="5" t="s">
        <v>11</v>
      </c>
      <c r="B7" s="6" t="n">
        <f aca="false">COUNTA(Gini_coefficient!A3:A22)</f>
        <v>20</v>
      </c>
      <c r="C7" s="7" t="n">
        <f aca="false">Gini_coefficient!B2</f>
        <v>2000</v>
      </c>
      <c r="D7" s="7" t="n">
        <f aca="false">Gini_coefficient!AA2</f>
        <v>2025</v>
      </c>
      <c r="E7" s="8" t="n">
        <f aca="false">IFERROR(AVERAGE(Gini_coefficient!AA3:AA22),"")</f>
        <v>0.4576</v>
      </c>
      <c r="F7" s="8" t="n">
        <f aca="false">IFERROR(MIN(Gini_coefficient!B3:AA22),"")</f>
        <v>0.391</v>
      </c>
      <c r="G7" s="8" t="n">
        <f aca="false">IFERROR(MAX(Gini_coefficient!B3:AA22),"")</f>
        <v>0.585</v>
      </c>
    </row>
    <row r="9" customFormat="false" ht="15" hidden="false" customHeight="true" outlineLevel="0" collapsed="false">
      <c r="A9" s="9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14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15</v>
      </c>
      <c r="B3" s="14" t="n">
        <v>33.2</v>
      </c>
      <c r="C3" s="14" t="n">
        <v>34.3</v>
      </c>
      <c r="D3" s="14" t="n">
        <v>37.2</v>
      </c>
      <c r="E3" s="14" t="n">
        <v>33.5</v>
      </c>
      <c r="F3" s="14" t="n">
        <v>32.7</v>
      </c>
      <c r="G3" s="14" t="n">
        <v>33.7</v>
      </c>
      <c r="H3" s="14" t="n">
        <v>33.3</v>
      </c>
      <c r="I3" s="14" t="n">
        <v>32.9</v>
      </c>
      <c r="J3" s="14" t="n">
        <v>33.2</v>
      </c>
      <c r="K3" s="14" t="n">
        <v>33.2</v>
      </c>
      <c r="L3" s="14" t="n">
        <v>31.2</v>
      </c>
      <c r="M3" s="14" t="n">
        <v>31.6</v>
      </c>
      <c r="N3" s="14" t="n">
        <v>29.9</v>
      </c>
      <c r="O3" s="14" t="n">
        <v>28.1</v>
      </c>
      <c r="P3" s="14" t="n">
        <v>27.4</v>
      </c>
      <c r="Q3" s="14" t="n">
        <v>26.6</v>
      </c>
      <c r="R3" s="14" t="n">
        <v>26.4</v>
      </c>
      <c r="S3" s="14" t="n">
        <v>25.8</v>
      </c>
      <c r="T3" s="14" t="n">
        <v>24.9</v>
      </c>
      <c r="U3" s="14" t="n">
        <v>25.9</v>
      </c>
      <c r="V3" s="14" t="n">
        <v>29.8</v>
      </c>
      <c r="W3" s="14" t="n">
        <v>26.5</v>
      </c>
      <c r="X3" s="14" t="n">
        <v>25.5</v>
      </c>
      <c r="Y3" s="14" t="n">
        <v>25.4</v>
      </c>
      <c r="Z3" s="14" t="n">
        <v>24.7</v>
      </c>
      <c r="AA3" s="14" t="n">
        <v>24.5</v>
      </c>
    </row>
    <row r="4" customFormat="false" ht="15" hidden="false" customHeight="true" outlineLevel="0" collapsed="false">
      <c r="A4" s="15" t="s">
        <v>16</v>
      </c>
      <c r="B4" s="16" t="n">
        <v>61.8</v>
      </c>
      <c r="C4" s="16" t="n">
        <v>57.3</v>
      </c>
      <c r="D4" s="16" t="n">
        <v>55.7</v>
      </c>
      <c r="E4" s="16" t="n">
        <v>53.1</v>
      </c>
      <c r="F4" s="16" t="n">
        <v>47.4</v>
      </c>
      <c r="G4" s="16" t="n">
        <v>42.9</v>
      </c>
      <c r="H4" s="16" t="n">
        <v>40.5</v>
      </c>
      <c r="I4" s="16" t="n">
        <v>37.4</v>
      </c>
      <c r="J4" s="16" t="n">
        <v>35.1</v>
      </c>
      <c r="K4" s="16" t="n">
        <v>34.6</v>
      </c>
      <c r="L4" s="16" t="n">
        <v>31.6</v>
      </c>
      <c r="M4" s="16" t="n">
        <v>29.4</v>
      </c>
      <c r="N4" s="16" t="n">
        <v>27.6</v>
      </c>
      <c r="O4" s="16" t="n">
        <v>25</v>
      </c>
      <c r="P4" s="16" t="n">
        <v>23.5</v>
      </c>
      <c r="Q4" s="16" t="n">
        <v>22.9</v>
      </c>
      <c r="R4" s="16" t="n">
        <v>21.3</v>
      </c>
      <c r="S4" s="16" t="n">
        <v>20.7</v>
      </c>
      <c r="T4" s="16" t="n">
        <v>19.7</v>
      </c>
      <c r="U4" s="16" t="n">
        <v>19</v>
      </c>
      <c r="V4" s="16" t="n">
        <v>22.6</v>
      </c>
      <c r="W4" s="16" t="n">
        <v>19.1</v>
      </c>
      <c r="X4" s="16" t="n">
        <v>17.7</v>
      </c>
      <c r="Y4" s="16" t="n">
        <v>17.3</v>
      </c>
      <c r="Z4" s="16" t="n">
        <v>17.2</v>
      </c>
      <c r="AA4" s="16" t="n">
        <v>16.6</v>
      </c>
    </row>
    <row r="5" customFormat="false" ht="15" hidden="false" customHeight="true" outlineLevel="0" collapsed="false">
      <c r="A5" s="13" t="s">
        <v>17</v>
      </c>
      <c r="B5" s="14" t="n">
        <v>37.8</v>
      </c>
      <c r="C5" s="17"/>
      <c r="D5" s="14" t="n">
        <v>34.6</v>
      </c>
      <c r="E5" s="14" t="n">
        <v>33.7</v>
      </c>
      <c r="F5" s="14" t="n">
        <v>33.1</v>
      </c>
      <c r="G5" s="14" t="n">
        <v>33.2</v>
      </c>
      <c r="H5" s="14" t="n">
        <v>32.4</v>
      </c>
      <c r="I5" s="14" t="n">
        <v>31.6</v>
      </c>
      <c r="J5" s="14" t="n">
        <v>30.5</v>
      </c>
      <c r="K5" s="14" t="n">
        <v>30.3</v>
      </c>
      <c r="L5" s="14" t="n">
        <v>30.9</v>
      </c>
      <c r="M5" s="14" t="n">
        <v>29.4</v>
      </c>
      <c r="N5" s="14" t="n">
        <v>27.5</v>
      </c>
      <c r="O5" s="14" t="n">
        <v>27.2</v>
      </c>
      <c r="P5" s="14" t="n">
        <v>26.4</v>
      </c>
      <c r="Q5" s="14" t="n">
        <v>27.7</v>
      </c>
      <c r="R5" s="14" t="n">
        <v>28.7</v>
      </c>
      <c r="S5" s="14" t="n">
        <v>28.3</v>
      </c>
      <c r="T5" s="14" t="n">
        <v>27.3</v>
      </c>
      <c r="U5" s="14" t="n">
        <v>25.9</v>
      </c>
      <c r="V5" s="14" t="n">
        <v>31.2</v>
      </c>
      <c r="W5" s="14" t="n">
        <v>28</v>
      </c>
      <c r="X5" s="14" t="n">
        <v>26.1</v>
      </c>
      <c r="Y5" s="14" t="n">
        <v>24.9</v>
      </c>
      <c r="Z5" s="14" t="n">
        <v>24.5</v>
      </c>
      <c r="AA5" s="14" t="n">
        <v>23.4</v>
      </c>
    </row>
    <row r="6" customFormat="false" ht="15" hidden="false" customHeight="true" outlineLevel="0" collapsed="false">
      <c r="A6" s="15" t="s">
        <v>18</v>
      </c>
      <c r="B6" s="16" t="n">
        <v>26.2</v>
      </c>
      <c r="C6" s="16" t="n">
        <v>26.1</v>
      </c>
      <c r="D6" s="16" t="n">
        <v>25.4</v>
      </c>
      <c r="E6" s="16" t="n">
        <v>23.2</v>
      </c>
      <c r="F6" s="16" t="n">
        <v>21.8</v>
      </c>
      <c r="G6" s="16" t="n">
        <v>20.7</v>
      </c>
      <c r="H6" s="16" t="n">
        <v>18.9</v>
      </c>
      <c r="I6" s="16" t="n">
        <v>17.5</v>
      </c>
      <c r="J6" s="16" t="n">
        <v>16.5</v>
      </c>
      <c r="K6" s="16" t="n">
        <v>15.6</v>
      </c>
      <c r="L6" s="16" t="n">
        <v>14.5</v>
      </c>
      <c r="M6" s="16" t="n">
        <v>14.3</v>
      </c>
      <c r="N6" s="16" t="n">
        <v>13.6</v>
      </c>
      <c r="O6" s="16" t="n">
        <v>12.8</v>
      </c>
      <c r="P6" s="16" t="n">
        <v>12.5</v>
      </c>
      <c r="Q6" s="16" t="n">
        <v>11.9</v>
      </c>
      <c r="R6" s="16" t="n">
        <v>11.4</v>
      </c>
      <c r="S6" s="16" t="n">
        <v>11.1</v>
      </c>
      <c r="T6" s="16" t="n">
        <v>10.4</v>
      </c>
      <c r="U6" s="16" t="n">
        <v>10.4</v>
      </c>
      <c r="V6" s="16" t="n">
        <v>12.8</v>
      </c>
      <c r="W6" s="16" t="n">
        <v>10.8</v>
      </c>
      <c r="X6" s="16" t="n">
        <v>10.5</v>
      </c>
      <c r="Y6" s="16" t="n">
        <v>10.3</v>
      </c>
      <c r="Z6" s="16" t="n">
        <v>9.8</v>
      </c>
      <c r="AA6" s="16" t="n">
        <v>9.3</v>
      </c>
    </row>
    <row r="7" customFormat="false" ht="15" hidden="false" customHeight="true" outlineLevel="0" collapsed="false">
      <c r="A7" s="13" t="s">
        <v>19</v>
      </c>
      <c r="B7" s="14" t="n">
        <v>51.4</v>
      </c>
      <c r="C7" s="14" t="n">
        <v>50.3</v>
      </c>
      <c r="D7" s="14" t="n">
        <v>48.1</v>
      </c>
      <c r="E7" s="14" t="n">
        <v>46.9</v>
      </c>
      <c r="F7" s="14" t="n">
        <v>45.1</v>
      </c>
      <c r="G7" s="14" t="n">
        <v>42.3</v>
      </c>
      <c r="H7" s="14" t="n">
        <v>40.7</v>
      </c>
      <c r="I7" s="14" t="n">
        <v>38.9</v>
      </c>
      <c r="J7" s="14" t="n">
        <v>37.3</v>
      </c>
      <c r="K7" s="14" t="n">
        <v>37</v>
      </c>
      <c r="L7" s="14" t="n">
        <v>35.9</v>
      </c>
      <c r="M7" s="14" t="n">
        <v>34.8</v>
      </c>
      <c r="N7" s="14" t="n">
        <v>34.7</v>
      </c>
      <c r="O7" s="14" t="n">
        <v>33.6</v>
      </c>
      <c r="P7" s="14" t="n">
        <v>31.7</v>
      </c>
      <c r="Q7" s="14" t="n">
        <v>31.5</v>
      </c>
      <c r="R7" s="14" t="n">
        <v>30.3</v>
      </c>
      <c r="S7" s="14" t="n">
        <v>29.5</v>
      </c>
      <c r="T7" s="14" t="n">
        <v>28.1</v>
      </c>
      <c r="U7" s="14" t="n">
        <v>27.8</v>
      </c>
      <c r="V7" s="14" t="n">
        <v>32.9</v>
      </c>
      <c r="W7" s="14" t="n">
        <v>29.2</v>
      </c>
      <c r="X7" s="14" t="n">
        <v>28.3</v>
      </c>
      <c r="Y7" s="14" t="n">
        <v>27.3</v>
      </c>
      <c r="Z7" s="14" t="n">
        <v>26.2</v>
      </c>
      <c r="AA7" s="14" t="n">
        <v>25.2</v>
      </c>
    </row>
    <row r="8" customFormat="false" ht="15" hidden="false" customHeight="true" outlineLevel="0" collapsed="false">
      <c r="A8" s="15" t="s">
        <v>20</v>
      </c>
      <c r="B8" s="16" t="n">
        <v>21.9</v>
      </c>
      <c r="C8" s="16" t="n">
        <v>20.6</v>
      </c>
      <c r="D8" s="16" t="n">
        <v>20</v>
      </c>
      <c r="E8" s="16" t="n">
        <v>19.4</v>
      </c>
      <c r="F8" s="16" t="n">
        <v>18.7</v>
      </c>
      <c r="G8" s="16" t="n">
        <v>18.1</v>
      </c>
      <c r="H8" s="16" t="n">
        <v>17.4</v>
      </c>
      <c r="I8" s="16" t="n">
        <v>16.8</v>
      </c>
      <c r="J8" s="16" t="n">
        <v>16.5</v>
      </c>
      <c r="K8" s="16" t="n">
        <v>16.5</v>
      </c>
      <c r="L8" s="16" t="n">
        <v>15.7</v>
      </c>
      <c r="M8" s="16" t="n">
        <v>15.2</v>
      </c>
      <c r="N8" s="16" t="n">
        <v>15.1</v>
      </c>
      <c r="O8" s="16" t="n">
        <v>14.5</v>
      </c>
      <c r="P8" s="16" t="n">
        <v>14</v>
      </c>
      <c r="Q8" s="16" t="n">
        <v>13.6</v>
      </c>
      <c r="R8" s="16" t="n">
        <v>13.6</v>
      </c>
      <c r="S8" s="16" t="n">
        <v>13.3</v>
      </c>
      <c r="T8" s="16" t="n">
        <v>13</v>
      </c>
      <c r="U8" s="16" t="n">
        <v>12.5</v>
      </c>
      <c r="V8" s="16" t="n">
        <v>15</v>
      </c>
      <c r="W8" s="16" t="n">
        <v>13.5</v>
      </c>
      <c r="X8" s="16" t="n">
        <v>12.8</v>
      </c>
      <c r="Y8" s="16" t="n">
        <v>12.2</v>
      </c>
      <c r="Z8" s="16" t="n">
        <v>12</v>
      </c>
      <c r="AA8" s="16" t="n">
        <v>11.5</v>
      </c>
    </row>
    <row r="9" customFormat="false" ht="15" hidden="false" customHeight="true" outlineLevel="0" collapsed="false">
      <c r="A9" s="13" t="s">
        <v>21</v>
      </c>
      <c r="B9" s="14" t="n">
        <v>45</v>
      </c>
      <c r="C9" s="14" t="n">
        <v>42.3</v>
      </c>
      <c r="D9" s="14" t="n">
        <v>40.8</v>
      </c>
      <c r="E9" s="14" t="n">
        <v>37.8</v>
      </c>
      <c r="F9" s="14" t="n">
        <v>34.8</v>
      </c>
      <c r="G9" s="14" t="n">
        <v>32.6</v>
      </c>
      <c r="H9" s="14" t="n">
        <v>30.4</v>
      </c>
      <c r="I9" s="14" t="n">
        <v>28</v>
      </c>
      <c r="J9" s="14" t="n">
        <v>25.7</v>
      </c>
      <c r="K9" s="14" t="n">
        <v>25</v>
      </c>
      <c r="L9" s="14" t="n">
        <v>22.9</v>
      </c>
      <c r="M9" s="14" t="n">
        <v>21.6</v>
      </c>
      <c r="N9" s="14" t="n">
        <v>20.5</v>
      </c>
      <c r="O9" s="14" t="n">
        <v>18.9</v>
      </c>
      <c r="P9" s="14" t="n">
        <v>17.3</v>
      </c>
      <c r="Q9" s="14" t="n">
        <v>16.5</v>
      </c>
      <c r="R9" s="14" t="n">
        <v>15.8</v>
      </c>
      <c r="S9" s="14" t="n">
        <v>14.9</v>
      </c>
      <c r="T9" s="14" t="n">
        <v>14.1</v>
      </c>
      <c r="U9" s="14" t="n">
        <v>13.2</v>
      </c>
      <c r="V9" s="14" t="n">
        <v>16</v>
      </c>
      <c r="W9" s="14" t="n">
        <v>14.7</v>
      </c>
      <c r="X9" s="14" t="n">
        <v>13.9</v>
      </c>
      <c r="Y9" s="14" t="n">
        <v>13.1</v>
      </c>
      <c r="Z9" s="14" t="n">
        <v>12.4</v>
      </c>
      <c r="AA9" s="14" t="n">
        <v>11.8</v>
      </c>
    </row>
    <row r="10" customFormat="false" ht="15" hidden="false" customHeight="true" outlineLevel="0" collapsed="false">
      <c r="A10" s="15" t="s">
        <v>22</v>
      </c>
      <c r="B10" s="16" t="n">
        <v>64.3</v>
      </c>
      <c r="C10" s="16" t="n">
        <v>61.9</v>
      </c>
      <c r="D10" s="16" t="n">
        <v>59.6</v>
      </c>
      <c r="E10" s="16" t="n">
        <v>57.4</v>
      </c>
      <c r="F10" s="16" t="n">
        <v>54.4</v>
      </c>
      <c r="G10" s="16" t="n">
        <v>53</v>
      </c>
      <c r="H10" s="16" t="n">
        <v>50</v>
      </c>
      <c r="I10" s="16" t="n">
        <v>50.2</v>
      </c>
      <c r="J10" s="16" t="n">
        <v>47.3</v>
      </c>
      <c r="K10" s="16" t="n">
        <v>47.9</v>
      </c>
      <c r="L10" s="16" t="n">
        <v>45.5</v>
      </c>
      <c r="M10" s="16" t="n">
        <v>42.8</v>
      </c>
      <c r="N10" s="16" t="n">
        <v>41.1</v>
      </c>
      <c r="O10" s="16" t="n">
        <v>40.4</v>
      </c>
      <c r="P10" s="16" t="n">
        <v>39.9</v>
      </c>
      <c r="Q10" s="16" t="n">
        <v>38.3</v>
      </c>
      <c r="R10" s="16" t="n">
        <v>37.4</v>
      </c>
      <c r="S10" s="16" t="n">
        <v>35.9</v>
      </c>
      <c r="T10" s="16" t="n">
        <v>33.7</v>
      </c>
      <c r="U10" s="16" t="n">
        <v>32.8</v>
      </c>
      <c r="V10" s="16" t="n">
        <v>38.9</v>
      </c>
      <c r="W10" s="16" t="n">
        <v>35.9</v>
      </c>
      <c r="X10" s="16" t="n">
        <v>32.9</v>
      </c>
      <c r="Y10" s="16" t="n">
        <v>31.3</v>
      </c>
      <c r="Z10" s="16" t="n">
        <v>30.5</v>
      </c>
      <c r="AA10" s="16" t="n">
        <v>31.6</v>
      </c>
    </row>
    <row r="11" customFormat="false" ht="15" hidden="false" customHeight="true" outlineLevel="0" collapsed="false">
      <c r="A11" s="13" t="s">
        <v>23</v>
      </c>
      <c r="B11" s="14" t="n">
        <v>48.3</v>
      </c>
      <c r="C11" s="14" t="n">
        <v>47.1</v>
      </c>
      <c r="D11" s="14" t="n">
        <v>46.3</v>
      </c>
      <c r="E11" s="14" t="n">
        <v>44.6</v>
      </c>
      <c r="F11" s="14" t="n">
        <v>42.9</v>
      </c>
      <c r="G11" s="14" t="n">
        <v>39.5</v>
      </c>
      <c r="H11" s="14" t="n">
        <v>37.8</v>
      </c>
      <c r="I11" s="14" t="n">
        <v>36</v>
      </c>
      <c r="J11" s="14" t="n">
        <v>34.2</v>
      </c>
      <c r="K11" s="14" t="n">
        <v>33.9</v>
      </c>
      <c r="L11" s="14" t="n">
        <v>32.2</v>
      </c>
      <c r="M11" s="14" t="n">
        <v>32.1</v>
      </c>
      <c r="N11" s="14" t="n">
        <v>32</v>
      </c>
      <c r="O11" s="14" t="n">
        <v>32</v>
      </c>
      <c r="P11" s="14" t="n">
        <v>30.8</v>
      </c>
      <c r="Q11" s="14" t="n">
        <v>30</v>
      </c>
      <c r="R11" s="14" t="n">
        <v>29.2</v>
      </c>
      <c r="S11" s="14" t="n">
        <v>28.3</v>
      </c>
      <c r="T11" s="14" t="n">
        <v>27.4</v>
      </c>
      <c r="U11" s="14" t="n">
        <v>26.3</v>
      </c>
      <c r="V11" s="14" t="n">
        <v>31.8</v>
      </c>
      <c r="W11" s="14" t="n">
        <v>28.4</v>
      </c>
      <c r="X11" s="14" t="n">
        <v>27</v>
      </c>
      <c r="Y11" s="14" t="n">
        <v>26.6</v>
      </c>
      <c r="Z11" s="14" t="n">
        <v>26</v>
      </c>
      <c r="AA11" s="14" t="n">
        <v>25.1</v>
      </c>
    </row>
    <row r="12" customFormat="false" ht="15" hidden="false" customHeight="true" outlineLevel="0" collapsed="false">
      <c r="A12" s="15" t="s">
        <v>24</v>
      </c>
      <c r="B12" s="16" t="n">
        <v>56.5</v>
      </c>
      <c r="C12" s="18" t="s">
        <v>25</v>
      </c>
      <c r="D12" s="16" t="n">
        <v>53.8</v>
      </c>
      <c r="E12" s="16" t="n">
        <v>52.6</v>
      </c>
      <c r="F12" s="16" t="n">
        <v>51.5</v>
      </c>
      <c r="G12" s="16" t="n">
        <v>50</v>
      </c>
      <c r="H12" s="16" t="n">
        <v>49.3</v>
      </c>
      <c r="I12" s="16" t="n">
        <v>48</v>
      </c>
      <c r="J12" s="16" t="n">
        <v>46.6</v>
      </c>
      <c r="K12" s="16" t="n">
        <v>46.3</v>
      </c>
      <c r="L12" s="16" t="n">
        <v>45.6</v>
      </c>
      <c r="M12" s="16" t="n">
        <v>44.9</v>
      </c>
      <c r="N12" s="16" t="n">
        <v>44.9</v>
      </c>
      <c r="O12" s="16" t="n">
        <v>44</v>
      </c>
      <c r="P12" s="16" t="n">
        <v>43.3</v>
      </c>
      <c r="Q12" s="16" t="n">
        <v>41.4</v>
      </c>
      <c r="R12" s="16" t="n">
        <v>40.7</v>
      </c>
      <c r="S12" s="16" t="n">
        <v>40.4</v>
      </c>
      <c r="T12" s="16" t="n">
        <v>38.6</v>
      </c>
      <c r="U12" s="16" t="n">
        <v>37.6</v>
      </c>
      <c r="V12" s="16" t="n">
        <v>43.8</v>
      </c>
      <c r="W12" s="16" t="n">
        <v>40.2</v>
      </c>
      <c r="X12" s="16" t="n">
        <v>38.3</v>
      </c>
      <c r="Y12" s="16" t="n">
        <v>37.6</v>
      </c>
      <c r="Z12" s="16" t="n">
        <v>36.9</v>
      </c>
      <c r="AA12" s="16" t="n">
        <v>36.1</v>
      </c>
    </row>
    <row r="13" customFormat="false" ht="15" hidden="false" customHeight="true" outlineLevel="0" collapsed="false">
      <c r="A13" s="13" t="s">
        <v>26</v>
      </c>
      <c r="B13" s="14" t="n">
        <v>68.4</v>
      </c>
      <c r="C13" s="14" t="n">
        <v>66.9</v>
      </c>
      <c r="D13" s="14" t="n">
        <v>65.8</v>
      </c>
      <c r="E13" s="14" t="n">
        <v>64.2</v>
      </c>
      <c r="F13" s="14" t="n">
        <v>62.2</v>
      </c>
      <c r="G13" s="14" t="n">
        <v>60.3</v>
      </c>
      <c r="H13" s="14" t="n">
        <v>58.7</v>
      </c>
      <c r="I13" s="14" t="n">
        <v>56.4</v>
      </c>
      <c r="J13" s="14" t="n">
        <v>54.9</v>
      </c>
      <c r="K13" s="14" t="n">
        <v>53.4</v>
      </c>
      <c r="L13" s="14" t="n">
        <v>50.2</v>
      </c>
      <c r="M13" s="14" t="n">
        <v>49.4</v>
      </c>
      <c r="N13" s="14" t="n">
        <v>47.9</v>
      </c>
      <c r="O13" s="14" t="n">
        <v>45.7</v>
      </c>
      <c r="P13" s="14" t="n">
        <v>44.4</v>
      </c>
      <c r="Q13" s="14" t="n">
        <v>43.5</v>
      </c>
      <c r="R13" s="14" t="n">
        <v>41.1</v>
      </c>
      <c r="S13" s="14" t="n">
        <v>39.8</v>
      </c>
      <c r="T13" s="14" t="n">
        <v>39.7</v>
      </c>
      <c r="U13" s="14" t="n">
        <v>39.4</v>
      </c>
      <c r="V13" s="14" t="n">
        <v>47.1</v>
      </c>
      <c r="W13" s="14" t="n">
        <v>43</v>
      </c>
      <c r="X13" s="14" t="n">
        <v>40</v>
      </c>
      <c r="Y13" s="14" t="n">
        <v>38.6</v>
      </c>
      <c r="Z13" s="14" t="n">
        <v>36.6</v>
      </c>
      <c r="AA13" s="14" t="n">
        <v>36.7</v>
      </c>
    </row>
    <row r="14" customFormat="false" ht="15" hidden="false" customHeight="true" outlineLevel="0" collapsed="false">
      <c r="A14" s="15" t="s">
        <v>27</v>
      </c>
      <c r="B14" s="16" t="n">
        <v>20.3</v>
      </c>
      <c r="C14" s="16" t="n">
        <v>20.2</v>
      </c>
      <c r="D14" s="16" t="n">
        <v>19.8</v>
      </c>
      <c r="E14" s="16" t="n">
        <v>20</v>
      </c>
      <c r="F14" s="16" t="n">
        <v>19.9</v>
      </c>
      <c r="G14" s="16" t="n">
        <v>19.3</v>
      </c>
      <c r="H14" s="16" t="n">
        <v>18.4</v>
      </c>
      <c r="I14" s="16" t="n">
        <v>18.3</v>
      </c>
      <c r="J14" s="16" t="n">
        <v>18.1</v>
      </c>
      <c r="K14" s="16" t="n">
        <v>18.5</v>
      </c>
      <c r="L14" s="16" t="n">
        <v>18.2</v>
      </c>
      <c r="M14" s="16" t="n">
        <v>18</v>
      </c>
      <c r="N14" s="16" t="n">
        <v>17.3</v>
      </c>
      <c r="O14" s="16" t="n">
        <v>17</v>
      </c>
      <c r="P14" s="16" t="n">
        <v>16.7</v>
      </c>
      <c r="Q14" s="16" t="n">
        <v>16.2</v>
      </c>
      <c r="R14" s="16" t="n">
        <v>15.7</v>
      </c>
      <c r="S14" s="16" t="n">
        <v>14.9</v>
      </c>
      <c r="T14" s="16" t="n">
        <v>14.6</v>
      </c>
      <c r="U14" s="16" t="n">
        <v>14.8</v>
      </c>
      <c r="V14" s="16" t="n">
        <v>18.5</v>
      </c>
      <c r="W14" s="16" t="n">
        <v>17.1</v>
      </c>
      <c r="X14" s="16" t="n">
        <v>17</v>
      </c>
      <c r="Y14" s="16" t="n">
        <v>16.5</v>
      </c>
      <c r="Z14" s="16" t="n">
        <v>16.4</v>
      </c>
      <c r="AA14" s="16" t="n">
        <v>15.8</v>
      </c>
    </row>
    <row r="15" customFormat="false" ht="15" hidden="false" customHeight="true" outlineLevel="0" collapsed="false">
      <c r="A15" s="13" t="s">
        <v>28</v>
      </c>
      <c r="B15" s="14" t="n">
        <v>43.7</v>
      </c>
      <c r="C15" s="14" t="n">
        <v>42.8</v>
      </c>
      <c r="D15" s="14" t="n">
        <v>42.5</v>
      </c>
      <c r="E15" s="14" t="n">
        <v>41.5</v>
      </c>
      <c r="F15" s="14" t="n">
        <v>39.8</v>
      </c>
      <c r="G15" s="14" t="n">
        <v>38.4</v>
      </c>
      <c r="H15" s="14" t="n">
        <v>37.4</v>
      </c>
      <c r="I15" s="14" t="n">
        <v>36.7</v>
      </c>
      <c r="J15" s="14" t="n">
        <v>35.9</v>
      </c>
      <c r="K15" s="14" t="n">
        <v>36.4</v>
      </c>
      <c r="L15" s="14" t="n">
        <v>35</v>
      </c>
      <c r="M15" s="14" t="n">
        <v>34.9</v>
      </c>
      <c r="N15" s="14" t="n">
        <v>33.2</v>
      </c>
      <c r="O15" s="14" t="n">
        <v>32</v>
      </c>
      <c r="P15" s="14" t="n">
        <v>30.6</v>
      </c>
      <c r="Q15" s="14" t="n">
        <v>30.3</v>
      </c>
      <c r="R15" s="14" t="n">
        <v>29.3</v>
      </c>
      <c r="S15" s="14" t="n">
        <v>27.7</v>
      </c>
      <c r="T15" s="14" t="n">
        <v>26.9</v>
      </c>
      <c r="U15" s="14" t="n">
        <v>26.4</v>
      </c>
      <c r="V15" s="14" t="n">
        <v>31.4</v>
      </c>
      <c r="W15" s="14" t="n">
        <v>27.8</v>
      </c>
      <c r="X15" s="14" t="n">
        <v>26.8</v>
      </c>
      <c r="Y15" s="14" t="n">
        <v>26.9</v>
      </c>
      <c r="Z15" s="14" t="n">
        <v>26.6</v>
      </c>
      <c r="AA15" s="14" t="n">
        <v>27.3</v>
      </c>
    </row>
    <row r="16" customFormat="false" ht="15" hidden="false" customHeight="true" outlineLevel="0" collapsed="false">
      <c r="A16" s="15" t="s">
        <v>29</v>
      </c>
      <c r="B16" s="16" t="n">
        <v>64.3</v>
      </c>
      <c r="C16" s="18"/>
      <c r="D16" s="16" t="n">
        <v>61.1</v>
      </c>
      <c r="E16" s="16" t="n">
        <v>57.7</v>
      </c>
      <c r="F16" s="16" t="n">
        <v>58</v>
      </c>
      <c r="G16" s="16" t="n">
        <v>54.7</v>
      </c>
      <c r="H16" s="16" t="n">
        <v>51.4</v>
      </c>
      <c r="I16" s="16" t="n">
        <v>49.6</v>
      </c>
      <c r="J16" s="16" t="n">
        <v>48.8</v>
      </c>
      <c r="K16" s="16" t="n">
        <v>48.8</v>
      </c>
      <c r="L16" s="16" t="n">
        <v>45.7</v>
      </c>
      <c r="M16" s="16" t="n">
        <v>43.6</v>
      </c>
      <c r="N16" s="16" t="n">
        <v>42.6</v>
      </c>
      <c r="O16" s="16" t="n">
        <v>40.3</v>
      </c>
      <c r="P16" s="16" t="n">
        <v>39.4</v>
      </c>
      <c r="Q16" s="16" t="n">
        <v>38.1</v>
      </c>
      <c r="R16" s="16" t="n">
        <v>37</v>
      </c>
      <c r="S16" s="16" t="n">
        <v>35.1</v>
      </c>
      <c r="T16" s="16" t="n">
        <v>35.5</v>
      </c>
      <c r="U16" s="16" t="n">
        <v>34.5</v>
      </c>
      <c r="V16" s="16" t="n">
        <v>41.8</v>
      </c>
      <c r="W16" s="16" t="n">
        <v>37.1</v>
      </c>
      <c r="X16" s="16" t="n">
        <v>35.8</v>
      </c>
      <c r="Y16" s="16" t="n">
        <v>35.2</v>
      </c>
      <c r="Z16" s="16" t="n">
        <v>34.9</v>
      </c>
      <c r="AA16" s="16" t="n">
        <v>34.7</v>
      </c>
    </row>
    <row r="17" customFormat="false" ht="15" hidden="false" customHeight="true" outlineLevel="0" collapsed="false">
      <c r="A17" s="13" t="s">
        <v>30</v>
      </c>
      <c r="B17" s="14" t="n">
        <v>33.8</v>
      </c>
      <c r="C17" s="17" t="s">
        <v>31</v>
      </c>
      <c r="D17" s="14" t="n">
        <v>31.8</v>
      </c>
      <c r="E17" s="14" t="n">
        <v>31.7</v>
      </c>
      <c r="F17" s="14" t="n">
        <v>31.1</v>
      </c>
      <c r="G17" s="14" t="n">
        <v>30.8</v>
      </c>
      <c r="H17" s="14" t="n">
        <v>30.5</v>
      </c>
      <c r="I17" s="14" t="n">
        <v>29.3</v>
      </c>
      <c r="J17" s="14" t="n">
        <v>28.8</v>
      </c>
      <c r="K17" s="14" t="n">
        <v>29.3</v>
      </c>
      <c r="L17" s="14" t="n">
        <v>28.9</v>
      </c>
      <c r="M17" s="14" t="n">
        <v>28</v>
      </c>
      <c r="N17" s="14" t="n">
        <v>28.2</v>
      </c>
      <c r="O17" s="14" t="n">
        <v>28</v>
      </c>
      <c r="P17" s="14" t="n">
        <v>27.8</v>
      </c>
      <c r="Q17" s="14" t="n">
        <v>27.1</v>
      </c>
      <c r="R17" s="14" t="n">
        <v>26.2</v>
      </c>
      <c r="S17" s="14" t="n">
        <v>26</v>
      </c>
      <c r="T17" s="14" t="n">
        <v>25.4</v>
      </c>
      <c r="U17" s="14" t="n">
        <v>24.8</v>
      </c>
      <c r="V17" s="14" t="n">
        <v>29.2</v>
      </c>
      <c r="W17" s="14" t="n">
        <v>26.5</v>
      </c>
      <c r="X17" s="14" t="n">
        <v>25.5</v>
      </c>
      <c r="Y17" s="14" t="n">
        <v>24.8</v>
      </c>
      <c r="Z17" s="14" t="n">
        <v>24.5</v>
      </c>
      <c r="AA17" s="14" t="n">
        <v>24</v>
      </c>
    </row>
    <row r="18" customFormat="false" ht="15" hidden="false" customHeight="true" outlineLevel="0" collapsed="false">
      <c r="A18" s="15" t="s">
        <v>32</v>
      </c>
      <c r="B18" s="16" t="n">
        <v>50.5</v>
      </c>
      <c r="C18" s="18" t="s">
        <v>31</v>
      </c>
      <c r="D18" s="16" t="n">
        <v>46.1</v>
      </c>
      <c r="E18" s="16" t="n">
        <v>44.8</v>
      </c>
      <c r="F18" s="16" t="n">
        <v>43.2</v>
      </c>
      <c r="G18" s="16" t="n">
        <v>41.2</v>
      </c>
      <c r="H18" s="16" t="n">
        <v>40.3</v>
      </c>
      <c r="I18" s="16" t="n">
        <v>38.9</v>
      </c>
      <c r="J18" s="16" t="n">
        <v>36.6</v>
      </c>
      <c r="K18" s="16" t="n">
        <v>36.1</v>
      </c>
      <c r="L18" s="16" t="n">
        <v>35.8</v>
      </c>
      <c r="M18" s="16" t="n">
        <v>34.4</v>
      </c>
      <c r="N18" s="16" t="n">
        <v>32.7</v>
      </c>
      <c r="O18" s="16" t="n">
        <v>30.6</v>
      </c>
      <c r="P18" s="16" t="n">
        <v>29.1</v>
      </c>
      <c r="Q18" s="16" t="n">
        <v>28.3</v>
      </c>
      <c r="R18" s="16" t="n">
        <v>27.5</v>
      </c>
      <c r="S18" s="16" t="n">
        <v>26.2</v>
      </c>
      <c r="T18" s="16" t="n">
        <v>24.3</v>
      </c>
      <c r="U18" s="16" t="n">
        <v>22.1</v>
      </c>
      <c r="V18" s="16" t="n">
        <v>27</v>
      </c>
      <c r="W18" s="16" t="n">
        <v>22.1</v>
      </c>
      <c r="X18" s="16" t="n">
        <v>20.5</v>
      </c>
      <c r="Y18" s="16" t="n">
        <v>19.1</v>
      </c>
      <c r="Z18" s="16" t="n">
        <v>18.7</v>
      </c>
      <c r="AA18" s="16" t="n">
        <v>18</v>
      </c>
    </row>
    <row r="19" customFormat="false" ht="15" hidden="false" customHeight="true" outlineLevel="0" collapsed="false">
      <c r="A19" s="13" t="s">
        <v>33</v>
      </c>
      <c r="B19" s="14" t="n">
        <v>56.3</v>
      </c>
      <c r="C19" s="14" t="n">
        <v>52.3</v>
      </c>
      <c r="D19" s="14" t="n">
        <v>50.5</v>
      </c>
      <c r="E19" s="14" t="n">
        <v>45.7</v>
      </c>
      <c r="F19" s="14" t="n">
        <v>41.8</v>
      </c>
      <c r="G19" s="14" t="n">
        <v>39.2</v>
      </c>
      <c r="H19" s="14" t="n">
        <v>36.2</v>
      </c>
      <c r="I19" s="14" t="n">
        <v>33.8</v>
      </c>
      <c r="J19" s="14" t="n">
        <v>30</v>
      </c>
      <c r="K19" s="14" t="n">
        <v>29.7</v>
      </c>
      <c r="L19" s="14" t="n">
        <v>27.1</v>
      </c>
      <c r="M19" s="14" t="n">
        <v>25.3</v>
      </c>
      <c r="N19" s="14" t="n">
        <v>24</v>
      </c>
      <c r="O19" s="14" t="n">
        <v>22.5</v>
      </c>
      <c r="P19" s="14" t="n">
        <v>21.1</v>
      </c>
      <c r="Q19" s="14" t="n">
        <v>20.1</v>
      </c>
      <c r="R19" s="14" t="n">
        <v>19.8</v>
      </c>
      <c r="S19" s="14" t="n">
        <v>18.7</v>
      </c>
      <c r="T19" s="14" t="n">
        <v>17.4</v>
      </c>
      <c r="U19" s="14" t="n">
        <v>15.8</v>
      </c>
      <c r="V19" s="14" t="n">
        <v>19.8</v>
      </c>
      <c r="W19" s="14" t="n">
        <v>17.4</v>
      </c>
      <c r="X19" s="14" t="n">
        <v>16.5</v>
      </c>
      <c r="Y19" s="14" t="n">
        <v>16.2</v>
      </c>
      <c r="Z19" s="14" t="n">
        <v>15.6</v>
      </c>
      <c r="AA19" s="14" t="n">
        <v>14.3</v>
      </c>
    </row>
    <row r="20" customFormat="false" ht="15" hidden="false" customHeight="true" outlineLevel="0" collapsed="false">
      <c r="A20" s="15" t="s">
        <v>34</v>
      </c>
      <c r="B20" s="16" t="n">
        <v>16.1</v>
      </c>
      <c r="C20" s="16" t="n">
        <v>16</v>
      </c>
      <c r="D20" s="16" t="n">
        <v>15.5</v>
      </c>
      <c r="E20" s="16" t="n">
        <v>15.1</v>
      </c>
      <c r="F20" s="16" t="n">
        <v>15.4</v>
      </c>
      <c r="G20" s="16" t="n">
        <v>15.6</v>
      </c>
      <c r="H20" s="16" t="n">
        <v>15.6</v>
      </c>
      <c r="I20" s="16" t="n">
        <v>15.2</v>
      </c>
      <c r="J20" s="16" t="n">
        <v>14.9</v>
      </c>
      <c r="K20" s="16" t="n">
        <v>15.3</v>
      </c>
      <c r="L20" s="16" t="n">
        <v>15.2</v>
      </c>
      <c r="M20" s="16" t="n">
        <v>15</v>
      </c>
      <c r="N20" s="16" t="n">
        <v>15.4</v>
      </c>
      <c r="O20" s="16" t="n">
        <v>15.6</v>
      </c>
      <c r="P20" s="16" t="n">
        <v>15.4</v>
      </c>
      <c r="Q20" s="16" t="n">
        <v>15.3</v>
      </c>
      <c r="R20" s="16" t="n">
        <v>15.6</v>
      </c>
      <c r="S20" s="16" t="n">
        <v>15.3</v>
      </c>
      <c r="T20" s="16" t="n">
        <v>15.7</v>
      </c>
      <c r="U20" s="16" t="n">
        <v>15.8</v>
      </c>
      <c r="V20" s="16" t="n">
        <v>18.9</v>
      </c>
      <c r="W20" s="16" t="n">
        <v>18.1</v>
      </c>
      <c r="X20" s="16" t="n">
        <v>17.7</v>
      </c>
      <c r="Y20" s="16" t="n">
        <v>17.6</v>
      </c>
      <c r="Z20" s="16" t="n">
        <v>17.8</v>
      </c>
      <c r="AA20" s="16" t="n">
        <v>17.9</v>
      </c>
    </row>
    <row r="21" customFormat="false" ht="15" hidden="false" customHeight="true" outlineLevel="0" collapsed="false">
      <c r="A21" s="13" t="s">
        <v>35</v>
      </c>
      <c r="B21" s="14" t="n">
        <v>18.4</v>
      </c>
      <c r="C21" s="17" t="s">
        <v>25</v>
      </c>
      <c r="D21" s="14" t="n">
        <v>20.5</v>
      </c>
      <c r="E21" s="14" t="n">
        <v>19.3</v>
      </c>
      <c r="F21" s="14" t="n">
        <v>18.2</v>
      </c>
      <c r="G21" s="14" t="n">
        <v>17.2</v>
      </c>
      <c r="H21" s="14" t="n">
        <v>16</v>
      </c>
      <c r="I21" s="14" t="n">
        <v>15.5</v>
      </c>
      <c r="J21" s="14" t="n">
        <v>14.6</v>
      </c>
      <c r="K21" s="14" t="n">
        <v>15.1</v>
      </c>
      <c r="L21" s="14" t="n">
        <v>13.6</v>
      </c>
      <c r="M21" s="14" t="n">
        <v>13</v>
      </c>
      <c r="N21" s="14" t="n">
        <v>12.5</v>
      </c>
      <c r="O21" s="14" t="n">
        <v>12.1</v>
      </c>
      <c r="P21" s="14" t="n">
        <v>11.7</v>
      </c>
      <c r="Q21" s="14" t="n">
        <v>11.4</v>
      </c>
      <c r="R21" s="14" t="n">
        <v>11.4</v>
      </c>
      <c r="S21" s="14" t="n">
        <v>11.2</v>
      </c>
      <c r="T21" s="14" t="n">
        <v>11.1</v>
      </c>
      <c r="U21" s="14" t="n">
        <v>10.6</v>
      </c>
      <c r="V21" s="14" t="n">
        <v>13.1</v>
      </c>
      <c r="W21" s="14" t="n">
        <v>11.3</v>
      </c>
      <c r="X21" s="14" t="n">
        <v>10.5</v>
      </c>
      <c r="Y21" s="14" t="n">
        <v>9.9</v>
      </c>
      <c r="Z21" s="14" t="n">
        <v>9.8</v>
      </c>
      <c r="AA21" s="14" t="n">
        <v>9.3</v>
      </c>
    </row>
    <row r="22" customFormat="false" ht="15" hidden="false" customHeight="true" outlineLevel="0" collapsed="false">
      <c r="A22" s="15" t="s">
        <v>36</v>
      </c>
      <c r="B22" s="16" t="n">
        <v>43</v>
      </c>
      <c r="C22" s="16" t="n">
        <v>42.9</v>
      </c>
      <c r="D22" s="16" t="n">
        <v>45.1</v>
      </c>
      <c r="E22" s="16" t="n">
        <v>46</v>
      </c>
      <c r="F22" s="16" t="n">
        <v>41.7</v>
      </c>
      <c r="G22" s="16" t="n">
        <v>41.4</v>
      </c>
      <c r="H22" s="16" t="n">
        <v>40.5</v>
      </c>
      <c r="I22" s="16" t="n">
        <v>41.4</v>
      </c>
      <c r="J22" s="16" t="n">
        <v>40.9</v>
      </c>
      <c r="K22" s="16" t="n">
        <v>40.6</v>
      </c>
      <c r="L22" s="16" t="n">
        <v>39</v>
      </c>
      <c r="M22" s="16" t="n">
        <v>39.2</v>
      </c>
      <c r="N22" s="16" t="n">
        <v>37.8</v>
      </c>
      <c r="O22" s="16" t="n">
        <v>38.3</v>
      </c>
      <c r="P22" s="16" t="n">
        <v>39.9</v>
      </c>
      <c r="Q22" s="16" t="n">
        <v>43.9</v>
      </c>
      <c r="R22" s="16" t="n">
        <v>50.7</v>
      </c>
      <c r="S22" s="16" t="n">
        <v>55.5</v>
      </c>
      <c r="T22" s="16" t="n">
        <v>62.5</v>
      </c>
      <c r="U22" s="16" t="n">
        <v>75.1</v>
      </c>
      <c r="V22" s="16" t="n">
        <v>88</v>
      </c>
      <c r="W22" s="16" t="n">
        <v>83.8</v>
      </c>
      <c r="X22" s="16" t="n">
        <v>82.3</v>
      </c>
      <c r="Y22" s="16" t="n">
        <v>83.4</v>
      </c>
      <c r="Z22" s="16" t="n">
        <v>82.6</v>
      </c>
      <c r="AA22" s="16" t="n">
        <v>82.6</v>
      </c>
    </row>
  </sheetData>
  <autoFilter ref="A2:AA22"/>
  <mergeCells count="1">
    <mergeCell ref="A1:AA1"/>
  </mergeCells>
  <conditionalFormatting sqref="B3:AA22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14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15</v>
      </c>
      <c r="B3" s="19" t="n">
        <v>0.1163</v>
      </c>
      <c r="C3" s="19" t="n">
        <v>0.1252</v>
      </c>
      <c r="D3" s="19" t="n">
        <v>0.1309</v>
      </c>
      <c r="E3" s="19" t="n">
        <v>0.1184</v>
      </c>
      <c r="F3" s="19" t="n">
        <v>0.1158</v>
      </c>
      <c r="G3" s="19" t="n">
        <v>0.1204</v>
      </c>
      <c r="H3" s="19" t="n">
        <v>0.1167</v>
      </c>
      <c r="I3" s="19" t="n">
        <v>0.1128</v>
      </c>
      <c r="J3" s="19" t="n">
        <v>0.1132</v>
      </c>
      <c r="K3" s="19" t="n">
        <v>0.114</v>
      </c>
      <c r="L3" s="19" t="n">
        <v>0.1042</v>
      </c>
      <c r="M3" s="19" t="n">
        <v>0.1033</v>
      </c>
      <c r="N3" s="19" t="n">
        <v>0.0967</v>
      </c>
      <c r="O3" s="19" t="n">
        <v>0.0926</v>
      </c>
      <c r="P3" s="19" t="n">
        <v>0.0896</v>
      </c>
      <c r="Q3" s="19" t="n">
        <v>0.0844</v>
      </c>
      <c r="R3" s="19" t="n">
        <v>0.0817</v>
      </c>
      <c r="S3" s="19" t="n">
        <v>0.0811</v>
      </c>
      <c r="T3" s="19" t="n">
        <v>0.0792</v>
      </c>
      <c r="U3" s="19" t="n">
        <v>0.0791</v>
      </c>
      <c r="V3" s="19" t="n">
        <v>0.0909</v>
      </c>
      <c r="W3" s="19" t="n">
        <v>0.0799</v>
      </c>
      <c r="X3" s="19" t="n">
        <v>0.0753</v>
      </c>
      <c r="Y3" s="19" t="n">
        <v>0.079</v>
      </c>
      <c r="Z3" s="19" t="n">
        <v>0.0766</v>
      </c>
      <c r="AA3" s="19" t="n">
        <v>0.0744</v>
      </c>
    </row>
    <row r="4" customFormat="false" ht="15" hidden="false" customHeight="true" outlineLevel="0" collapsed="false">
      <c r="A4" s="15" t="s">
        <v>16</v>
      </c>
      <c r="B4" s="20" t="n">
        <v>0.2177</v>
      </c>
      <c r="C4" s="20" t="n">
        <v>0.204</v>
      </c>
      <c r="D4" s="20" t="n">
        <v>0.1898</v>
      </c>
      <c r="E4" s="20" t="n">
        <v>0.1909</v>
      </c>
      <c r="F4" s="20" t="n">
        <v>0.1718</v>
      </c>
      <c r="G4" s="20" t="n">
        <v>0.14</v>
      </c>
      <c r="H4" s="20" t="n">
        <v>0.1369</v>
      </c>
      <c r="I4" s="20" t="n">
        <v>0.1285</v>
      </c>
      <c r="J4" s="20" t="n">
        <v>0.122</v>
      </c>
      <c r="K4" s="20" t="n">
        <v>0.1187</v>
      </c>
      <c r="L4" s="20" t="n">
        <v>0.0985</v>
      </c>
      <c r="M4" s="20" t="n">
        <v>0.1016</v>
      </c>
      <c r="N4" s="20" t="n">
        <v>0.0883</v>
      </c>
      <c r="O4" s="20" t="n">
        <v>0.0816</v>
      </c>
      <c r="P4" s="20" t="n">
        <v>0.0783</v>
      </c>
      <c r="Q4" s="20" t="n">
        <v>0.0745</v>
      </c>
      <c r="R4" s="20" t="n">
        <v>0.069</v>
      </c>
      <c r="S4" s="20" t="n">
        <v>0.0658</v>
      </c>
      <c r="T4" s="20" t="n">
        <v>0.0635</v>
      </c>
      <c r="U4" s="20" t="n">
        <v>0.0595</v>
      </c>
      <c r="V4" s="20" t="n">
        <v>0.0678</v>
      </c>
      <c r="W4" s="20" t="n">
        <v>0.0589</v>
      </c>
      <c r="X4" s="20" t="n">
        <v>0.0532</v>
      </c>
      <c r="Y4" s="20" t="n">
        <v>0.0532</v>
      </c>
      <c r="Z4" s="20" t="n">
        <v>0.0542</v>
      </c>
      <c r="AA4" s="20" t="n">
        <v>0.0482</v>
      </c>
    </row>
    <row r="5" customFormat="false" ht="15" hidden="false" customHeight="true" outlineLevel="0" collapsed="false">
      <c r="A5" s="13" t="s">
        <v>17</v>
      </c>
      <c r="B5" s="19" t="n">
        <v>0.1411</v>
      </c>
      <c r="C5" s="19" t="n">
        <v>0.1318</v>
      </c>
      <c r="D5" s="19" t="n">
        <v>0.1248</v>
      </c>
      <c r="E5" s="19" t="n">
        <v>0.1155</v>
      </c>
      <c r="F5" s="19" t="n">
        <v>0.1184</v>
      </c>
      <c r="G5" s="19" t="n">
        <v>0.1133</v>
      </c>
      <c r="H5" s="19" t="n">
        <v>0.1136</v>
      </c>
      <c r="I5" s="19" t="n">
        <v>0.104</v>
      </c>
      <c r="J5" s="19" t="n">
        <v>0.1042</v>
      </c>
      <c r="K5" s="19" t="n">
        <v>0.101</v>
      </c>
      <c r="L5" s="19" t="n">
        <v>0.1025</v>
      </c>
      <c r="M5" s="19" t="n">
        <v>0.1005</v>
      </c>
      <c r="N5" s="19" t="n">
        <v>0.0908</v>
      </c>
      <c r="O5" s="19" t="n">
        <v>0.0893</v>
      </c>
      <c r="P5" s="19" t="n">
        <v>0.0847</v>
      </c>
      <c r="Q5" s="19" t="n">
        <v>0.0888</v>
      </c>
      <c r="R5" s="19" t="n">
        <v>0.09</v>
      </c>
      <c r="S5" s="19" t="n">
        <v>0.0952</v>
      </c>
      <c r="T5" s="19" t="n">
        <v>0.0879</v>
      </c>
      <c r="U5" s="19" t="n">
        <v>0.0827</v>
      </c>
      <c r="V5" s="19" t="n">
        <v>0.0959</v>
      </c>
      <c r="W5" s="19" t="n">
        <v>0.0865</v>
      </c>
      <c r="X5" s="19" t="n">
        <v>0.0771</v>
      </c>
      <c r="Y5" s="19" t="n">
        <v>0.074</v>
      </c>
      <c r="Z5" s="19" t="n">
        <v>0.0782</v>
      </c>
      <c r="AA5" s="19" t="n">
        <v>0.0721</v>
      </c>
    </row>
    <row r="6" customFormat="false" ht="15" hidden="false" customHeight="true" outlineLevel="0" collapsed="false">
      <c r="A6" s="15" t="s">
        <v>18</v>
      </c>
      <c r="B6" s="20" t="n">
        <v>0.0968</v>
      </c>
      <c r="C6" s="20" t="n">
        <v>0.0926</v>
      </c>
      <c r="D6" s="20" t="n">
        <v>0.0896</v>
      </c>
      <c r="E6" s="20" t="n">
        <v>0.0821</v>
      </c>
      <c r="F6" s="20" t="n">
        <v>0.0759</v>
      </c>
      <c r="G6" s="20" t="n">
        <v>0.0728</v>
      </c>
      <c r="H6" s="20" t="n">
        <v>0.0651</v>
      </c>
      <c r="I6" s="20" t="n">
        <v>0.0588</v>
      </c>
      <c r="J6" s="20" t="n">
        <v>0.0555</v>
      </c>
      <c r="K6" s="20" t="n">
        <v>0.0524</v>
      </c>
      <c r="L6" s="20" t="n">
        <v>0.0483</v>
      </c>
      <c r="M6" s="20" t="n">
        <v>0.0485</v>
      </c>
      <c r="N6" s="20" t="n">
        <v>0.0434</v>
      </c>
      <c r="O6" s="20" t="n">
        <v>0.0433</v>
      </c>
      <c r="P6" s="20" t="n">
        <v>0.0414</v>
      </c>
      <c r="Q6" s="20" t="n">
        <v>0.0378</v>
      </c>
      <c r="R6" s="20" t="n">
        <v>0.037</v>
      </c>
      <c r="S6" s="20" t="n">
        <v>0.0359</v>
      </c>
      <c r="T6" s="20" t="n">
        <v>0.0332</v>
      </c>
      <c r="U6" s="20" t="n">
        <v>0.0327</v>
      </c>
      <c r="V6" s="20" t="n">
        <v>0.0388</v>
      </c>
      <c r="W6" s="20" t="n">
        <v>0.0331</v>
      </c>
      <c r="X6" s="20" t="n">
        <v>0.0334</v>
      </c>
      <c r="Y6" s="20" t="n">
        <v>0.0304</v>
      </c>
      <c r="Z6" s="20" t="n">
        <v>0.0294</v>
      </c>
      <c r="AA6" s="20" t="n">
        <v>0.0261</v>
      </c>
    </row>
    <row r="7" customFormat="false" ht="15" hidden="false" customHeight="true" outlineLevel="0" collapsed="false">
      <c r="A7" s="13" t="s">
        <v>19</v>
      </c>
      <c r="B7" s="19" t="n">
        <v>0.1847</v>
      </c>
      <c r="C7" s="19" t="n">
        <v>0.1777</v>
      </c>
      <c r="D7" s="19" t="n">
        <v>0.1716</v>
      </c>
      <c r="E7" s="19" t="n">
        <v>0.1623</v>
      </c>
      <c r="F7" s="19" t="n">
        <v>0.1549</v>
      </c>
      <c r="G7" s="19" t="n">
        <v>0.1488</v>
      </c>
      <c r="H7" s="19" t="n">
        <v>0.1417</v>
      </c>
      <c r="I7" s="19" t="n">
        <v>0.1364</v>
      </c>
      <c r="J7" s="19" t="n">
        <v>0.1272</v>
      </c>
      <c r="K7" s="19" t="n">
        <v>0.1258</v>
      </c>
      <c r="L7" s="19" t="n">
        <v>0.1146</v>
      </c>
      <c r="M7" s="19" t="n">
        <v>0.1109</v>
      </c>
      <c r="N7" s="19" t="n">
        <v>0.113</v>
      </c>
      <c r="O7" s="19" t="n">
        <v>0.1099</v>
      </c>
      <c r="P7" s="19" t="n">
        <v>0.1047</v>
      </c>
      <c r="Q7" s="19" t="n">
        <v>0.1044</v>
      </c>
      <c r="R7" s="19" t="n">
        <v>0.0971</v>
      </c>
      <c r="S7" s="19" t="n">
        <v>0.0967</v>
      </c>
      <c r="T7" s="19" t="n">
        <v>0.0858</v>
      </c>
      <c r="U7" s="19" t="n">
        <v>0.0932</v>
      </c>
      <c r="V7" s="19" t="n">
        <v>0.1013</v>
      </c>
      <c r="W7" s="19" t="n">
        <v>0.0932</v>
      </c>
      <c r="X7" s="19" t="n">
        <v>0.0862</v>
      </c>
      <c r="Y7" s="19" t="n">
        <v>0.0835</v>
      </c>
      <c r="Z7" s="19" t="n">
        <v>0.0804</v>
      </c>
      <c r="AA7" s="19" t="n">
        <v>0.0743</v>
      </c>
    </row>
    <row r="8" customFormat="false" ht="15" hidden="false" customHeight="true" outlineLevel="0" collapsed="false">
      <c r="A8" s="15" t="s">
        <v>20</v>
      </c>
      <c r="B8" s="20" t="n">
        <v>0.0775</v>
      </c>
      <c r="C8" s="20" t="n">
        <v>0.0718</v>
      </c>
      <c r="D8" s="20" t="n">
        <v>0.0738</v>
      </c>
      <c r="E8" s="20" t="n">
        <v>0.0694</v>
      </c>
      <c r="F8" s="20" t="n">
        <v>0.0644</v>
      </c>
      <c r="G8" s="20" t="n">
        <v>0.0629</v>
      </c>
      <c r="H8" s="20" t="n">
        <v>0.0582</v>
      </c>
      <c r="I8" s="20" t="n">
        <v>0.0587</v>
      </c>
      <c r="J8" s="20" t="n">
        <v>0.0552</v>
      </c>
      <c r="K8" s="20" t="n">
        <v>0.0557</v>
      </c>
      <c r="L8" s="20" t="n">
        <v>0.0538</v>
      </c>
      <c r="M8" s="20" t="n">
        <v>0.0504</v>
      </c>
      <c r="N8" s="20" t="n">
        <v>0.0491</v>
      </c>
      <c r="O8" s="20" t="n">
        <v>0.0458</v>
      </c>
      <c r="P8" s="20" t="n">
        <v>0.046</v>
      </c>
      <c r="Q8" s="20" t="n">
        <v>0.0428</v>
      </c>
      <c r="R8" s="20" t="n">
        <v>0.045</v>
      </c>
      <c r="S8" s="20" t="n">
        <v>0.0418</v>
      </c>
      <c r="T8" s="20" t="n">
        <v>0.0396</v>
      </c>
      <c r="U8" s="20" t="n">
        <v>0.0388</v>
      </c>
      <c r="V8" s="20" t="n">
        <v>0.0486</v>
      </c>
      <c r="W8" s="20" t="n">
        <v>0.042</v>
      </c>
      <c r="X8" s="20" t="n">
        <v>0.0384</v>
      </c>
      <c r="Y8" s="20" t="n">
        <v>0.0375</v>
      </c>
      <c r="Z8" s="20" t="n">
        <v>0.0359</v>
      </c>
      <c r="AA8" s="20" t="n">
        <v>0.0329</v>
      </c>
    </row>
    <row r="9" customFormat="false" ht="15" hidden="false" customHeight="true" outlineLevel="0" collapsed="false">
      <c r="A9" s="13" t="s">
        <v>21</v>
      </c>
      <c r="B9" s="19" t="n">
        <v>0.1623</v>
      </c>
      <c r="C9" s="19" t="n">
        <v>0.1476</v>
      </c>
      <c r="D9" s="19" t="n">
        <v>0.147</v>
      </c>
      <c r="E9" s="19" t="n">
        <v>0.1392</v>
      </c>
      <c r="F9" s="19" t="n">
        <v>0.1265</v>
      </c>
      <c r="G9" s="19" t="n">
        <v>0.1105</v>
      </c>
      <c r="H9" s="19" t="n">
        <v>0.1072</v>
      </c>
      <c r="I9" s="19" t="n">
        <v>0.0888</v>
      </c>
      <c r="J9" s="19" t="n">
        <v>0.0832</v>
      </c>
      <c r="K9" s="19" t="n">
        <v>0.0839</v>
      </c>
      <c r="L9" s="19" t="n">
        <v>0.0778</v>
      </c>
      <c r="M9" s="19" t="n">
        <v>0.073</v>
      </c>
      <c r="N9" s="19" t="n">
        <v>0.0696</v>
      </c>
      <c r="O9" s="19" t="n">
        <v>0.0635</v>
      </c>
      <c r="P9" s="19" t="n">
        <v>0.0564</v>
      </c>
      <c r="Q9" s="19" t="n">
        <v>0.0551</v>
      </c>
      <c r="R9" s="19" t="n">
        <v>0.0518</v>
      </c>
      <c r="S9" s="19" t="n">
        <v>0.0478</v>
      </c>
      <c r="T9" s="19" t="n">
        <v>0.0437</v>
      </c>
      <c r="U9" s="19" t="n">
        <v>0.0424</v>
      </c>
      <c r="V9" s="19" t="n">
        <v>0.0477</v>
      </c>
      <c r="W9" s="19" t="n">
        <v>0.047</v>
      </c>
      <c r="X9" s="19" t="n">
        <v>0.0432</v>
      </c>
      <c r="Y9" s="19" t="n">
        <v>0.0396</v>
      </c>
      <c r="Z9" s="19" t="n">
        <v>0.0359</v>
      </c>
      <c r="AA9" s="19" t="n">
        <v>0.0364</v>
      </c>
    </row>
    <row r="10" customFormat="false" ht="15" hidden="false" customHeight="true" outlineLevel="0" collapsed="false">
      <c r="A10" s="15" t="s">
        <v>22</v>
      </c>
      <c r="B10" s="20" t="n">
        <v>0.2349</v>
      </c>
      <c r="C10" s="20" t="n">
        <v>0.2124</v>
      </c>
      <c r="D10" s="20" t="n">
        <v>0.2089</v>
      </c>
      <c r="E10" s="20" t="n">
        <v>0.201</v>
      </c>
      <c r="F10" s="20" t="n">
        <v>0.1872</v>
      </c>
      <c r="G10" s="20" t="n">
        <v>0.1844</v>
      </c>
      <c r="H10" s="20" t="n">
        <v>0.1716</v>
      </c>
      <c r="I10" s="20" t="n">
        <v>0.1755</v>
      </c>
      <c r="J10" s="20" t="n">
        <v>0.1634</v>
      </c>
      <c r="K10" s="20" t="n">
        <v>0.1621</v>
      </c>
      <c r="L10" s="20" t="n">
        <v>0.1554</v>
      </c>
      <c r="M10" s="20" t="n">
        <v>0.1433</v>
      </c>
      <c r="N10" s="20" t="n">
        <v>0.1341</v>
      </c>
      <c r="O10" s="20" t="n">
        <v>0.1352</v>
      </c>
      <c r="P10" s="20" t="n">
        <v>0.1296</v>
      </c>
      <c r="Q10" s="20" t="n">
        <v>0.1251</v>
      </c>
      <c r="R10" s="20" t="n">
        <v>0.117</v>
      </c>
      <c r="S10" s="20" t="n">
        <v>0.1193</v>
      </c>
      <c r="T10" s="20" t="n">
        <v>0.1072</v>
      </c>
      <c r="U10" s="20" t="n">
        <v>0.1</v>
      </c>
      <c r="V10" s="20" t="n">
        <v>0.1195</v>
      </c>
      <c r="W10" s="20" t="n">
        <v>0.1152</v>
      </c>
      <c r="X10" s="20" t="n">
        <v>0.102</v>
      </c>
      <c r="Y10" s="20" t="n">
        <v>0.0973</v>
      </c>
      <c r="Z10" s="20" t="n">
        <v>0.0937</v>
      </c>
      <c r="AA10" s="20" t="n">
        <v>0.097</v>
      </c>
    </row>
    <row r="11" customFormat="false" ht="15" hidden="false" customHeight="true" outlineLevel="0" collapsed="false">
      <c r="A11" s="13" t="s">
        <v>23</v>
      </c>
      <c r="B11" s="19" t="n">
        <v>0.1749</v>
      </c>
      <c r="C11" s="19" t="n">
        <v>0.1685</v>
      </c>
      <c r="D11" s="19" t="n">
        <v>0.1676</v>
      </c>
      <c r="E11" s="19" t="n">
        <v>0.1536</v>
      </c>
      <c r="F11" s="19" t="n">
        <v>0.1522</v>
      </c>
      <c r="G11" s="19" t="n">
        <v>0.1416</v>
      </c>
      <c r="H11" s="19" t="n">
        <v>0.1306</v>
      </c>
      <c r="I11" s="19" t="n">
        <v>0.1231</v>
      </c>
      <c r="J11" s="19" t="n">
        <v>0.1122</v>
      </c>
      <c r="K11" s="19" t="n">
        <v>0.1177</v>
      </c>
      <c r="L11" s="19" t="n">
        <v>0.1054</v>
      </c>
      <c r="M11" s="19" t="n">
        <v>0.1075</v>
      </c>
      <c r="N11" s="19" t="n">
        <v>0.1053</v>
      </c>
      <c r="O11" s="19" t="n">
        <v>0.1029</v>
      </c>
      <c r="P11" s="19" t="n">
        <v>0.1023</v>
      </c>
      <c r="Q11" s="19" t="n">
        <v>0.0943</v>
      </c>
      <c r="R11" s="19" t="n">
        <v>0.0941</v>
      </c>
      <c r="S11" s="19" t="n">
        <v>0.0914</v>
      </c>
      <c r="T11" s="19" t="n">
        <v>0.085</v>
      </c>
      <c r="U11" s="19" t="n">
        <v>0.0842</v>
      </c>
      <c r="V11" s="19" t="n">
        <v>0.0973</v>
      </c>
      <c r="W11" s="19" t="n">
        <v>0.0827</v>
      </c>
      <c r="X11" s="19" t="n">
        <v>0.0855</v>
      </c>
      <c r="Y11" s="19" t="n">
        <v>0.0783</v>
      </c>
      <c r="Z11" s="19" t="n">
        <v>0.0797</v>
      </c>
      <c r="AA11" s="19" t="n">
        <v>0.0727</v>
      </c>
    </row>
    <row r="12" customFormat="false" ht="15" hidden="false" customHeight="true" outlineLevel="0" collapsed="false">
      <c r="A12" s="15" t="s">
        <v>24</v>
      </c>
      <c r="B12" s="20" t="n">
        <v>0.2018</v>
      </c>
      <c r="C12" s="20" t="n">
        <v>0.1969</v>
      </c>
      <c r="D12" s="20" t="n">
        <v>0.1906</v>
      </c>
      <c r="E12" s="20" t="n">
        <v>0.1832</v>
      </c>
      <c r="F12" s="20" t="n">
        <v>0.1801</v>
      </c>
      <c r="G12" s="20" t="n">
        <v>0.1825</v>
      </c>
      <c r="H12" s="20" t="n">
        <v>0.1655</v>
      </c>
      <c r="I12" s="20" t="n">
        <v>0.167</v>
      </c>
      <c r="J12" s="20" t="n">
        <v>0.1669</v>
      </c>
      <c r="K12" s="20" t="n">
        <v>0.156</v>
      </c>
      <c r="L12" s="20" t="n">
        <v>0.1537</v>
      </c>
      <c r="M12" s="20" t="n">
        <v>0.1442</v>
      </c>
      <c r="N12" s="20" t="n">
        <v>0.1492</v>
      </c>
      <c r="O12" s="20" t="n">
        <v>0.1407</v>
      </c>
      <c r="P12" s="20" t="n">
        <v>0.142</v>
      </c>
      <c r="Q12" s="20" t="n">
        <v>0.1369</v>
      </c>
      <c r="R12" s="20" t="n">
        <v>0.1376</v>
      </c>
      <c r="S12" s="20" t="n">
        <v>0.1309</v>
      </c>
      <c r="T12" s="20" t="n">
        <v>0.115</v>
      </c>
      <c r="U12" s="20" t="n">
        <v>0.1168</v>
      </c>
      <c r="V12" s="20" t="n">
        <v>0.1313</v>
      </c>
      <c r="W12" s="20" t="n">
        <v>0.1308</v>
      </c>
      <c r="X12" s="20" t="n">
        <v>0.1235</v>
      </c>
      <c r="Y12" s="20" t="n">
        <v>0.1118</v>
      </c>
      <c r="Z12" s="20" t="n">
        <v>0.1093</v>
      </c>
      <c r="AA12" s="20" t="n">
        <v>0.1143</v>
      </c>
    </row>
    <row r="13" customFormat="false" ht="15" hidden="false" customHeight="true" outlineLevel="0" collapsed="false">
      <c r="A13" s="13" t="s">
        <v>26</v>
      </c>
      <c r="B13" s="19" t="n">
        <v>0.2479</v>
      </c>
      <c r="C13" s="19" t="n">
        <v>0.2426</v>
      </c>
      <c r="D13" s="19" t="n">
        <v>0.2321</v>
      </c>
      <c r="E13" s="19" t="n">
        <v>0.2246</v>
      </c>
      <c r="F13" s="19" t="n">
        <v>0.2126</v>
      </c>
      <c r="G13" s="19" t="n">
        <v>0.2058</v>
      </c>
      <c r="H13" s="19" t="n">
        <v>0.2041</v>
      </c>
      <c r="I13" s="19" t="n">
        <v>0.1906</v>
      </c>
      <c r="J13" s="19" t="n">
        <v>0.1976</v>
      </c>
      <c r="K13" s="19" t="n">
        <v>0.1892</v>
      </c>
      <c r="L13" s="19" t="n">
        <v>0.1629</v>
      </c>
      <c r="M13" s="19" t="n">
        <v>0.1649</v>
      </c>
      <c r="N13" s="19" t="n">
        <v>0.1591</v>
      </c>
      <c r="O13" s="19" t="n">
        <v>0.151</v>
      </c>
      <c r="P13" s="19" t="n">
        <v>0.1551</v>
      </c>
      <c r="Q13" s="19" t="n">
        <v>0.1386</v>
      </c>
      <c r="R13" s="19" t="n">
        <v>0.125</v>
      </c>
      <c r="S13" s="19" t="n">
        <v>0.1209</v>
      </c>
      <c r="T13" s="19" t="n">
        <v>0.1243</v>
      </c>
      <c r="U13" s="19" t="n">
        <v>0.125</v>
      </c>
      <c r="V13" s="19" t="n">
        <v>0.1453</v>
      </c>
      <c r="W13" s="19" t="n">
        <v>0.1352</v>
      </c>
      <c r="X13" s="19" t="n">
        <v>0.1252</v>
      </c>
      <c r="Y13" s="19" t="n">
        <v>0.11</v>
      </c>
      <c r="Z13" s="19" t="n">
        <v>0.1072</v>
      </c>
      <c r="AA13" s="19" t="n">
        <v>0.1094</v>
      </c>
    </row>
    <row r="14" customFormat="false" ht="15" hidden="false" customHeight="true" outlineLevel="0" collapsed="false">
      <c r="A14" s="15" t="s">
        <v>27</v>
      </c>
      <c r="B14" s="20" t="n">
        <v>0.0712</v>
      </c>
      <c r="C14" s="20" t="n">
        <v>0.0716</v>
      </c>
      <c r="D14" s="20" t="n">
        <v>0.07</v>
      </c>
      <c r="E14" s="20" t="n">
        <v>0.0715</v>
      </c>
      <c r="F14" s="20" t="n">
        <v>0.0713</v>
      </c>
      <c r="G14" s="20" t="n">
        <v>0.0681</v>
      </c>
      <c r="H14" s="20" t="n">
        <v>0.0635</v>
      </c>
      <c r="I14" s="20" t="n">
        <v>0.0607</v>
      </c>
      <c r="J14" s="20" t="n">
        <v>0.0607</v>
      </c>
      <c r="K14" s="20" t="n">
        <v>0.0614</v>
      </c>
      <c r="L14" s="20" t="n">
        <v>0.0615</v>
      </c>
      <c r="M14" s="20" t="n">
        <v>0.0605</v>
      </c>
      <c r="N14" s="20" t="n">
        <v>0.0592</v>
      </c>
      <c r="O14" s="20" t="n">
        <v>0.057</v>
      </c>
      <c r="P14" s="20" t="n">
        <v>0.0555</v>
      </c>
      <c r="Q14" s="20" t="n">
        <v>0.0526</v>
      </c>
      <c r="R14" s="20" t="n">
        <v>0.051</v>
      </c>
      <c r="S14" s="20" t="n">
        <v>0.0471</v>
      </c>
      <c r="T14" s="20" t="n">
        <v>0.0464</v>
      </c>
      <c r="U14" s="20" t="n">
        <v>0.045</v>
      </c>
      <c r="V14" s="20" t="n">
        <v>0.0569</v>
      </c>
      <c r="W14" s="20" t="n">
        <v>0.0518</v>
      </c>
      <c r="X14" s="20" t="n">
        <v>0.0529</v>
      </c>
      <c r="Y14" s="20" t="n">
        <v>0.0515</v>
      </c>
      <c r="Z14" s="20" t="n">
        <v>0.0497</v>
      </c>
      <c r="AA14" s="20" t="n">
        <v>0.0483</v>
      </c>
    </row>
    <row r="15" customFormat="false" ht="15" hidden="false" customHeight="true" outlineLevel="0" collapsed="false">
      <c r="A15" s="13" t="s">
        <v>28</v>
      </c>
      <c r="B15" s="19" t="n">
        <v>0.1597</v>
      </c>
      <c r="C15" s="19" t="n">
        <v>0.1555</v>
      </c>
      <c r="D15" s="19" t="n">
        <v>0.1534</v>
      </c>
      <c r="E15" s="19" t="n">
        <v>0.1493</v>
      </c>
      <c r="F15" s="19" t="n">
        <v>0.1462</v>
      </c>
      <c r="G15" s="19" t="n">
        <v>0.1306</v>
      </c>
      <c r="H15" s="19" t="n">
        <v>0.1339</v>
      </c>
      <c r="I15" s="19" t="n">
        <v>0.1273</v>
      </c>
      <c r="J15" s="19" t="n">
        <v>0.1175</v>
      </c>
      <c r="K15" s="19" t="n">
        <v>0.1289</v>
      </c>
      <c r="L15" s="19" t="n">
        <v>0.1227</v>
      </c>
      <c r="M15" s="19" t="n">
        <v>0.1159</v>
      </c>
      <c r="N15" s="19" t="n">
        <v>0.11</v>
      </c>
      <c r="O15" s="19" t="n">
        <v>0.105</v>
      </c>
      <c r="P15" s="19" t="n">
        <v>0.0967</v>
      </c>
      <c r="Q15" s="19" t="n">
        <v>0.0995</v>
      </c>
      <c r="R15" s="19" t="n">
        <v>0.0946</v>
      </c>
      <c r="S15" s="19" t="n">
        <v>0.0887</v>
      </c>
      <c r="T15" s="19" t="n">
        <v>0.0865</v>
      </c>
      <c r="U15" s="19" t="n">
        <v>0.0797</v>
      </c>
      <c r="V15" s="19" t="n">
        <v>0.0975</v>
      </c>
      <c r="W15" s="19" t="n">
        <v>0.0865</v>
      </c>
      <c r="X15" s="19" t="n">
        <v>0.0843</v>
      </c>
      <c r="Y15" s="19" t="n">
        <v>0.0858</v>
      </c>
      <c r="Z15" s="19" t="n">
        <v>0.0789</v>
      </c>
      <c r="AA15" s="19" t="n">
        <v>0.0825</v>
      </c>
    </row>
    <row r="16" customFormat="false" ht="15" hidden="false" customHeight="true" outlineLevel="0" collapsed="false">
      <c r="A16" s="15" t="s">
        <v>29</v>
      </c>
      <c r="B16" s="20" t="n">
        <v>0.232</v>
      </c>
      <c r="C16" s="20" t="n">
        <v>0.2213</v>
      </c>
      <c r="D16" s="20" t="n">
        <v>0.2162</v>
      </c>
      <c r="E16" s="20" t="n">
        <v>0.2048</v>
      </c>
      <c r="F16" s="20" t="n">
        <v>0.1986</v>
      </c>
      <c r="G16" s="20" t="n">
        <v>0.1895</v>
      </c>
      <c r="H16" s="20" t="n">
        <v>0.1789</v>
      </c>
      <c r="I16" s="20" t="n">
        <v>0.1699</v>
      </c>
      <c r="J16" s="20" t="n">
        <v>0.1717</v>
      </c>
      <c r="K16" s="20" t="n">
        <v>0.1646</v>
      </c>
      <c r="L16" s="20" t="n">
        <v>0.1491</v>
      </c>
      <c r="M16" s="20" t="n">
        <v>0.1465</v>
      </c>
      <c r="N16" s="20" t="n">
        <v>0.1389</v>
      </c>
      <c r="O16" s="20" t="n">
        <v>0.125</v>
      </c>
      <c r="P16" s="20" t="n">
        <v>0.125</v>
      </c>
      <c r="Q16" s="20" t="n">
        <v>0.1243</v>
      </c>
      <c r="R16" s="20" t="n">
        <v>0.1206</v>
      </c>
      <c r="S16" s="20" t="n">
        <v>0.1122</v>
      </c>
      <c r="T16" s="20" t="n">
        <v>0.1139</v>
      </c>
      <c r="U16" s="20" t="n">
        <v>0.1077</v>
      </c>
      <c r="V16" s="20" t="n">
        <v>0.1296</v>
      </c>
      <c r="W16" s="20" t="n">
        <v>0.1136</v>
      </c>
      <c r="X16" s="20" t="n">
        <v>0.1091</v>
      </c>
      <c r="Y16" s="20" t="n">
        <v>0.1086</v>
      </c>
      <c r="Z16" s="20" t="n">
        <v>0.1038</v>
      </c>
      <c r="AA16" s="20" t="n">
        <v>0.1081</v>
      </c>
    </row>
    <row r="17" customFormat="false" ht="15" hidden="false" customHeight="true" outlineLevel="0" collapsed="false">
      <c r="A17" s="13" t="s">
        <v>30</v>
      </c>
      <c r="B17" s="19" t="n">
        <v>0.1152</v>
      </c>
      <c r="C17" s="19" t="n">
        <v>0.1203</v>
      </c>
      <c r="D17" s="19" t="n">
        <v>0.1137</v>
      </c>
      <c r="E17" s="19" t="n">
        <v>0.1114</v>
      </c>
      <c r="F17" s="19" t="n">
        <v>0.1097</v>
      </c>
      <c r="G17" s="19" t="n">
        <v>0.11</v>
      </c>
      <c r="H17" s="19" t="n">
        <v>0.0977</v>
      </c>
      <c r="I17" s="19" t="n">
        <v>0.1026</v>
      </c>
      <c r="J17" s="19" t="n">
        <v>0.098</v>
      </c>
      <c r="K17" s="19" t="n">
        <v>0.0952</v>
      </c>
      <c r="L17" s="19" t="n">
        <v>0.0983</v>
      </c>
      <c r="M17" s="19" t="n">
        <v>0.0889</v>
      </c>
      <c r="N17" s="19" t="n">
        <v>0.0908</v>
      </c>
      <c r="O17" s="19" t="n">
        <v>0.089</v>
      </c>
      <c r="P17" s="19" t="n">
        <v>0.0889</v>
      </c>
      <c r="Q17" s="19" t="n">
        <v>0.0893</v>
      </c>
      <c r="R17" s="19" t="n">
        <v>0.0854</v>
      </c>
      <c r="S17" s="19" t="n">
        <v>0.0826</v>
      </c>
      <c r="T17" s="19" t="n">
        <v>0.0799</v>
      </c>
      <c r="U17" s="19" t="n">
        <v>0.0779</v>
      </c>
      <c r="V17" s="19" t="n">
        <v>0.0912</v>
      </c>
      <c r="W17" s="19" t="n">
        <v>0.0817</v>
      </c>
      <c r="X17" s="19" t="n">
        <v>0.0794</v>
      </c>
      <c r="Y17" s="19" t="n">
        <v>0.0803</v>
      </c>
      <c r="Z17" s="19" t="n">
        <v>0.0705</v>
      </c>
      <c r="AA17" s="19" t="n">
        <v>0.071</v>
      </c>
    </row>
    <row r="18" customFormat="false" ht="15" hidden="false" customHeight="true" outlineLevel="0" collapsed="false">
      <c r="A18" s="15" t="s">
        <v>32</v>
      </c>
      <c r="B18" s="20" t="n">
        <v>0.1881</v>
      </c>
      <c r="C18" s="20" t="n">
        <v>0.1751</v>
      </c>
      <c r="D18" s="20" t="n">
        <v>0.1571</v>
      </c>
      <c r="E18" s="20" t="n">
        <v>0.1555</v>
      </c>
      <c r="F18" s="20" t="n">
        <v>0.1517</v>
      </c>
      <c r="G18" s="20" t="n">
        <v>0.1433</v>
      </c>
      <c r="H18" s="20" t="n">
        <v>0.1415</v>
      </c>
      <c r="I18" s="20" t="n">
        <v>0.1285</v>
      </c>
      <c r="J18" s="20" t="n">
        <v>0.1225</v>
      </c>
      <c r="K18" s="20" t="n">
        <v>0.1268</v>
      </c>
      <c r="L18" s="20" t="n">
        <v>0.1245</v>
      </c>
      <c r="M18" s="20" t="n">
        <v>0.1206</v>
      </c>
      <c r="N18" s="20" t="n">
        <v>0.1091</v>
      </c>
      <c r="O18" s="20" t="n">
        <v>0.0967</v>
      </c>
      <c r="P18" s="20" t="n">
        <v>0.0927</v>
      </c>
      <c r="Q18" s="20" t="n">
        <v>0.0946</v>
      </c>
      <c r="R18" s="20" t="n">
        <v>0.0886</v>
      </c>
      <c r="S18" s="20" t="n">
        <v>0.0821</v>
      </c>
      <c r="T18" s="20" t="n">
        <v>0.0778</v>
      </c>
      <c r="U18" s="20" t="n">
        <v>0.0701</v>
      </c>
      <c r="V18" s="20" t="n">
        <v>0.0822</v>
      </c>
      <c r="W18" s="20" t="n">
        <v>0.07</v>
      </c>
      <c r="X18" s="20" t="n">
        <v>0.062</v>
      </c>
      <c r="Y18" s="20" t="n">
        <v>0.0549</v>
      </c>
      <c r="Z18" s="20" t="n">
        <v>0.0567</v>
      </c>
      <c r="AA18" s="20" t="n">
        <v>0.0545</v>
      </c>
    </row>
    <row r="19" customFormat="false" ht="15" hidden="false" customHeight="true" outlineLevel="0" collapsed="false">
      <c r="A19" s="13" t="s">
        <v>33</v>
      </c>
      <c r="B19" s="19" t="n">
        <v>0.203</v>
      </c>
      <c r="C19" s="19" t="n">
        <v>0.1818</v>
      </c>
      <c r="D19" s="19" t="n">
        <v>0.1758</v>
      </c>
      <c r="E19" s="19" t="n">
        <v>0.161</v>
      </c>
      <c r="F19" s="19" t="n">
        <v>0.1452</v>
      </c>
      <c r="G19" s="19" t="n">
        <v>0.1374</v>
      </c>
      <c r="H19" s="19" t="n">
        <v>0.1275</v>
      </c>
      <c r="I19" s="19" t="n">
        <v>0.1147</v>
      </c>
      <c r="J19" s="19" t="n">
        <v>0.1015</v>
      </c>
      <c r="K19" s="19" t="n">
        <v>0.0969</v>
      </c>
      <c r="L19" s="19" t="n">
        <v>0.0905</v>
      </c>
      <c r="M19" s="19" t="n">
        <v>0.0869</v>
      </c>
      <c r="N19" s="19" t="n">
        <v>0.08</v>
      </c>
      <c r="O19" s="19" t="n">
        <v>0.0731</v>
      </c>
      <c r="P19" s="19" t="n">
        <v>0.0682</v>
      </c>
      <c r="Q19" s="19" t="n">
        <v>0.0644</v>
      </c>
      <c r="R19" s="19" t="n">
        <v>0.0637</v>
      </c>
      <c r="S19" s="19" t="n">
        <v>0.0611</v>
      </c>
      <c r="T19" s="19" t="n">
        <v>0.058</v>
      </c>
      <c r="U19" s="19" t="n">
        <v>0.0492</v>
      </c>
      <c r="V19" s="19" t="n">
        <v>0.063</v>
      </c>
      <c r="W19" s="19" t="n">
        <v>0.054</v>
      </c>
      <c r="X19" s="19" t="n">
        <v>0.0501</v>
      </c>
      <c r="Y19" s="19" t="n">
        <v>0.0489</v>
      </c>
      <c r="Z19" s="19" t="n">
        <v>0.0477</v>
      </c>
      <c r="AA19" s="19" t="n">
        <v>0.0435</v>
      </c>
    </row>
    <row r="20" customFormat="false" ht="15" hidden="false" customHeight="true" outlineLevel="0" collapsed="false">
      <c r="A20" s="15" t="s">
        <v>34</v>
      </c>
      <c r="B20" s="20" t="n">
        <v>0.0584</v>
      </c>
      <c r="C20" s="20" t="n">
        <v>0.0566</v>
      </c>
      <c r="D20" s="20" t="n">
        <v>0.0553</v>
      </c>
      <c r="E20" s="20" t="n">
        <v>0.0532</v>
      </c>
      <c r="F20" s="20" t="n">
        <v>0.0553</v>
      </c>
      <c r="G20" s="20" t="n">
        <v>0.0554</v>
      </c>
      <c r="H20" s="20" t="n">
        <v>0.0551</v>
      </c>
      <c r="I20" s="20" t="n">
        <v>0.0536</v>
      </c>
      <c r="J20" s="20" t="n">
        <v>0.0496</v>
      </c>
      <c r="K20" s="20" t="n">
        <v>0.0528</v>
      </c>
      <c r="L20" s="20" t="n">
        <v>0.0514</v>
      </c>
      <c r="M20" s="20" t="n">
        <v>0.0518</v>
      </c>
      <c r="N20" s="20" t="n">
        <v>0.0508</v>
      </c>
      <c r="O20" s="20" t="n">
        <v>0.0496</v>
      </c>
      <c r="P20" s="20" t="n">
        <v>0.0501</v>
      </c>
      <c r="Q20" s="20" t="n">
        <v>0.0501</v>
      </c>
      <c r="R20" s="20" t="n">
        <v>0.0502</v>
      </c>
      <c r="S20" s="20" t="n">
        <v>0.0485</v>
      </c>
      <c r="T20" s="20" t="n">
        <v>0.0502</v>
      </c>
      <c r="U20" s="20" t="n">
        <v>0.0481</v>
      </c>
      <c r="V20" s="20" t="n">
        <v>0.0567</v>
      </c>
      <c r="W20" s="20" t="n">
        <v>0.0555</v>
      </c>
      <c r="X20" s="20" t="n">
        <v>0.0548</v>
      </c>
      <c r="Y20" s="20" t="n">
        <v>0.056</v>
      </c>
      <c r="Z20" s="20" t="n">
        <v>0.054</v>
      </c>
      <c r="AA20" s="20" t="n">
        <v>0.0543</v>
      </c>
    </row>
    <row r="21" customFormat="false" ht="15" hidden="false" customHeight="true" outlineLevel="0" collapsed="false">
      <c r="A21" s="13" t="s">
        <v>35</v>
      </c>
      <c r="B21" s="19" t="n">
        <v>0.0643</v>
      </c>
      <c r="C21" s="19" t="n">
        <v>0.0656</v>
      </c>
      <c r="D21" s="19" t="n">
        <v>0.0732</v>
      </c>
      <c r="E21" s="19" t="n">
        <v>0.0682</v>
      </c>
      <c r="F21" s="19" t="n">
        <v>0.0637</v>
      </c>
      <c r="G21" s="19" t="n">
        <v>0.0592</v>
      </c>
      <c r="H21" s="19" t="n">
        <v>0.0554</v>
      </c>
      <c r="I21" s="19" t="n">
        <v>0.0519</v>
      </c>
      <c r="J21" s="19" t="n">
        <v>0.0492</v>
      </c>
      <c r="K21" s="19" t="n">
        <v>0.052</v>
      </c>
      <c r="L21" s="19" t="n">
        <v>0.0447</v>
      </c>
      <c r="M21" s="19" t="n">
        <v>0.0414</v>
      </c>
      <c r="N21" s="19" t="n">
        <v>0.0419</v>
      </c>
      <c r="O21" s="19" t="n">
        <v>0.0394</v>
      </c>
      <c r="P21" s="19" t="n">
        <v>0.0368</v>
      </c>
      <c r="Q21" s="19" t="n">
        <v>0.037</v>
      </c>
      <c r="R21" s="19" t="n">
        <v>0.0364</v>
      </c>
      <c r="S21" s="19" t="n">
        <v>0.0345</v>
      </c>
      <c r="T21" s="19" t="n">
        <v>0.0355</v>
      </c>
      <c r="U21" s="19" t="n">
        <v>0.0344</v>
      </c>
      <c r="V21" s="19" t="n">
        <v>0.0411</v>
      </c>
      <c r="W21" s="19" t="n">
        <v>0.0337</v>
      </c>
      <c r="X21" s="19" t="n">
        <v>0.0317</v>
      </c>
      <c r="Y21" s="19" t="n">
        <v>0.0303</v>
      </c>
      <c r="Z21" s="19" t="n">
        <v>0.0286</v>
      </c>
      <c r="AA21" s="19" t="n">
        <v>0.0281</v>
      </c>
    </row>
    <row r="22" customFormat="false" ht="15" hidden="false" customHeight="true" outlineLevel="0" collapsed="false">
      <c r="A22" s="15" t="s">
        <v>36</v>
      </c>
      <c r="B22" s="20" t="n">
        <v>0.1592</v>
      </c>
      <c r="C22" s="20" t="n">
        <v>0.1574</v>
      </c>
      <c r="D22" s="20" t="n">
        <v>0.1565</v>
      </c>
      <c r="E22" s="20" t="n">
        <v>0.1695</v>
      </c>
      <c r="F22" s="20" t="n">
        <v>0.1463</v>
      </c>
      <c r="G22" s="20" t="n">
        <v>0.1456</v>
      </c>
      <c r="H22" s="20" t="n">
        <v>0.1409</v>
      </c>
      <c r="I22" s="20" t="n">
        <v>0.1476</v>
      </c>
      <c r="J22" s="20" t="n">
        <v>0.1429</v>
      </c>
      <c r="K22" s="20" t="n">
        <v>0.1364</v>
      </c>
      <c r="L22" s="20" t="n">
        <v>0.1323</v>
      </c>
      <c r="M22" s="20" t="n">
        <v>0.137</v>
      </c>
      <c r="N22" s="20" t="n">
        <v>0.1326</v>
      </c>
      <c r="O22" s="20" t="n">
        <v>0.1292</v>
      </c>
      <c r="P22" s="20" t="n">
        <v>0.1297</v>
      </c>
      <c r="Q22" s="20" t="n">
        <v>0.1462</v>
      </c>
      <c r="R22" s="20" t="n">
        <v>0.166</v>
      </c>
      <c r="S22" s="20" t="n">
        <v>0.1761</v>
      </c>
      <c r="T22" s="20" t="n">
        <v>0.1914</v>
      </c>
      <c r="U22" s="20" t="n">
        <v>0.232</v>
      </c>
      <c r="V22" s="20" t="n">
        <v>0.2683</v>
      </c>
      <c r="W22" s="20" t="n">
        <v>0.2518</v>
      </c>
      <c r="X22" s="20" t="n">
        <v>0.2525</v>
      </c>
      <c r="Y22" s="20" t="n">
        <v>0.2635</v>
      </c>
      <c r="Z22" s="20" t="n">
        <v>0.253</v>
      </c>
      <c r="AA22" s="20" t="n">
        <v>0.2538</v>
      </c>
    </row>
  </sheetData>
  <autoFilter ref="A2:AA22"/>
  <mergeCells count="1">
    <mergeCell ref="A1:AA1"/>
  </mergeCells>
  <conditionalFormatting sqref="B3:AA22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14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15</v>
      </c>
      <c r="B3" s="19" t="n">
        <v>0.503</v>
      </c>
      <c r="C3" s="19" t="n">
        <v>0.501</v>
      </c>
      <c r="D3" s="19" t="n">
        <v>0.496</v>
      </c>
      <c r="E3" s="19" t="n">
        <v>0.491</v>
      </c>
      <c r="F3" s="19" t="n">
        <v>0.486</v>
      </c>
      <c r="G3" s="19" t="n">
        <v>0.484</v>
      </c>
      <c r="H3" s="19" t="n">
        <v>0.481</v>
      </c>
      <c r="I3" s="19" t="n">
        <v>0.479</v>
      </c>
      <c r="J3" s="19" t="n">
        <v>0.473</v>
      </c>
      <c r="K3" s="19" t="n">
        <v>0.472</v>
      </c>
      <c r="L3" s="19" t="n">
        <v>0.468</v>
      </c>
      <c r="M3" s="19" t="n">
        <v>0.465</v>
      </c>
      <c r="N3" s="19" t="n">
        <v>0.46</v>
      </c>
      <c r="O3" s="19" t="n">
        <v>0.458</v>
      </c>
      <c r="P3" s="19" t="n">
        <v>0.456</v>
      </c>
      <c r="Q3" s="19" t="n">
        <v>0.452</v>
      </c>
      <c r="R3" s="19" t="n">
        <v>0.45</v>
      </c>
      <c r="S3" s="19" t="n">
        <v>0.445</v>
      </c>
      <c r="T3" s="19" t="n">
        <v>0.44</v>
      </c>
      <c r="U3" s="19" t="n">
        <v>0.437</v>
      </c>
      <c r="V3" s="19" t="n">
        <v>0.433</v>
      </c>
      <c r="W3" s="19" t="n">
        <v>0.431</v>
      </c>
      <c r="X3" s="19" t="n">
        <v>0.428</v>
      </c>
      <c r="Y3" s="19" t="n">
        <v>0.425</v>
      </c>
      <c r="Z3" s="19" t="n">
        <v>0.423</v>
      </c>
      <c r="AA3" s="19" t="n">
        <v>0.421</v>
      </c>
    </row>
    <row r="4" customFormat="false" ht="15" hidden="false" customHeight="true" outlineLevel="0" collapsed="false">
      <c r="A4" s="15" t="s">
        <v>16</v>
      </c>
      <c r="B4" s="20" t="n">
        <v>0.585</v>
      </c>
      <c r="C4" s="20" t="n">
        <v>0.585</v>
      </c>
      <c r="D4" s="20" t="n">
        <v>0.585</v>
      </c>
      <c r="E4" s="20" t="n">
        <v>0.585</v>
      </c>
      <c r="F4" s="20" t="n">
        <v>0.58</v>
      </c>
      <c r="G4" s="20" t="n">
        <v>0.57</v>
      </c>
      <c r="H4" s="20" t="n">
        <v>0.561</v>
      </c>
      <c r="I4" s="20" t="n">
        <v>0.552</v>
      </c>
      <c r="J4" s="20" t="n">
        <v>0.54</v>
      </c>
      <c r="K4" s="20" t="n">
        <v>0.528</v>
      </c>
      <c r="L4" s="20" t="n">
        <v>0.514</v>
      </c>
      <c r="M4" s="20" t="n">
        <v>0.501</v>
      </c>
      <c r="N4" s="20" t="n">
        <v>0.492</v>
      </c>
      <c r="O4" s="20" t="n">
        <v>0.482</v>
      </c>
      <c r="P4" s="20" t="n">
        <v>0.472</v>
      </c>
      <c r="Q4" s="20" t="n">
        <v>0.461</v>
      </c>
      <c r="R4" s="20" t="n">
        <v>0.452</v>
      </c>
      <c r="S4" s="20" t="n">
        <v>0.446</v>
      </c>
      <c r="T4" s="20" t="n">
        <v>0.441</v>
      </c>
      <c r="U4" s="20" t="n">
        <v>0.433</v>
      </c>
      <c r="V4" s="20" t="n">
        <v>0.429</v>
      </c>
      <c r="W4" s="20" t="n">
        <v>0.426</v>
      </c>
      <c r="X4" s="20" t="n">
        <v>0.421</v>
      </c>
      <c r="Y4" s="20" t="n">
        <v>0.419</v>
      </c>
      <c r="Z4" s="20" t="n">
        <v>0.416</v>
      </c>
      <c r="AA4" s="20" t="n">
        <v>0.412</v>
      </c>
    </row>
    <row r="5" customFormat="false" ht="15" hidden="false" customHeight="true" outlineLevel="0" collapsed="false">
      <c r="A5" s="13" t="s">
        <v>17</v>
      </c>
      <c r="B5" s="19" t="n">
        <v>0.585</v>
      </c>
      <c r="C5" s="19" t="n">
        <v>0.584</v>
      </c>
      <c r="D5" s="19" t="n">
        <v>0.579</v>
      </c>
      <c r="E5" s="19" t="n">
        <v>0.577</v>
      </c>
      <c r="F5" s="19" t="n">
        <v>0.576</v>
      </c>
      <c r="G5" s="19" t="n">
        <v>0.574</v>
      </c>
      <c r="H5" s="19" t="n">
        <v>0.572</v>
      </c>
      <c r="I5" s="19" t="n">
        <v>0.57</v>
      </c>
      <c r="J5" s="19" t="n">
        <v>0.568</v>
      </c>
      <c r="K5" s="19" t="n">
        <v>0.564</v>
      </c>
      <c r="L5" s="19" t="n">
        <v>0.561</v>
      </c>
      <c r="M5" s="19" t="n">
        <v>0.56</v>
      </c>
      <c r="N5" s="19" t="n">
        <v>0.557</v>
      </c>
      <c r="O5" s="19" t="n">
        <v>0.556</v>
      </c>
      <c r="P5" s="19" t="n">
        <v>0.552</v>
      </c>
      <c r="Q5" s="19" t="n">
        <v>0.551</v>
      </c>
      <c r="R5" s="19" t="n">
        <v>0.549</v>
      </c>
      <c r="S5" s="19" t="n">
        <v>0.547</v>
      </c>
      <c r="T5" s="19" t="n">
        <v>0.546</v>
      </c>
      <c r="U5" s="19" t="n">
        <v>0.543</v>
      </c>
      <c r="V5" s="19" t="n">
        <v>0.539</v>
      </c>
      <c r="W5" s="19" t="n">
        <v>0.536</v>
      </c>
      <c r="X5" s="19" t="n">
        <v>0.534</v>
      </c>
      <c r="Y5" s="19" t="n">
        <v>0.531</v>
      </c>
      <c r="Z5" s="19" t="n">
        <v>0.53</v>
      </c>
      <c r="AA5" s="19" t="n">
        <v>0.528</v>
      </c>
    </row>
    <row r="6" customFormat="false" ht="15" hidden="false" customHeight="true" outlineLevel="0" collapsed="false">
      <c r="A6" s="15" t="s">
        <v>18</v>
      </c>
      <c r="B6" s="20" t="n">
        <v>0.551</v>
      </c>
      <c r="C6" s="20" t="n">
        <v>0.546</v>
      </c>
      <c r="D6" s="20" t="n">
        <v>0.541</v>
      </c>
      <c r="E6" s="20" t="n">
        <v>0.538</v>
      </c>
      <c r="F6" s="20" t="n">
        <v>0.533</v>
      </c>
      <c r="G6" s="20" t="n">
        <v>0.528</v>
      </c>
      <c r="H6" s="20" t="n">
        <v>0.523</v>
      </c>
      <c r="I6" s="20" t="n">
        <v>0.518</v>
      </c>
      <c r="J6" s="20" t="n">
        <v>0.515</v>
      </c>
      <c r="K6" s="20" t="n">
        <v>0.511</v>
      </c>
      <c r="L6" s="20" t="n">
        <v>0.505</v>
      </c>
      <c r="M6" s="20" t="n">
        <v>0.503</v>
      </c>
      <c r="N6" s="20" t="n">
        <v>0.499</v>
      </c>
      <c r="O6" s="20" t="n">
        <v>0.496</v>
      </c>
      <c r="P6" s="20" t="n">
        <v>0.492</v>
      </c>
      <c r="Q6" s="20" t="n">
        <v>0.486</v>
      </c>
      <c r="R6" s="20" t="n">
        <v>0.483</v>
      </c>
      <c r="S6" s="20" t="n">
        <v>0.479</v>
      </c>
      <c r="T6" s="20" t="n">
        <v>0.472</v>
      </c>
      <c r="U6" s="20" t="n">
        <v>0.468</v>
      </c>
      <c r="V6" s="20" t="n">
        <v>0.465</v>
      </c>
      <c r="W6" s="20" t="n">
        <v>0.461</v>
      </c>
      <c r="X6" s="20" t="n">
        <v>0.457</v>
      </c>
      <c r="Y6" s="20" t="n">
        <v>0.452</v>
      </c>
      <c r="Z6" s="20" t="n">
        <v>0.447</v>
      </c>
      <c r="AA6" s="20" t="n">
        <v>0.442</v>
      </c>
    </row>
    <row r="7" customFormat="false" ht="15" hidden="false" customHeight="true" outlineLevel="0" collapsed="false">
      <c r="A7" s="13" t="s">
        <v>19</v>
      </c>
      <c r="B7" s="19" t="n">
        <v>0.579</v>
      </c>
      <c r="C7" s="19" t="n">
        <v>0.577</v>
      </c>
      <c r="D7" s="19" t="n">
        <v>0.576</v>
      </c>
      <c r="E7" s="19" t="n">
        <v>0.576</v>
      </c>
      <c r="F7" s="19" t="n">
        <v>0.575</v>
      </c>
      <c r="G7" s="19" t="n">
        <v>0.576</v>
      </c>
      <c r="H7" s="19" t="n">
        <v>0.574</v>
      </c>
      <c r="I7" s="19" t="n">
        <v>0.572</v>
      </c>
      <c r="J7" s="19" t="n">
        <v>0.569</v>
      </c>
      <c r="K7" s="19" t="n">
        <v>0.566</v>
      </c>
      <c r="L7" s="19" t="n">
        <v>0.562</v>
      </c>
      <c r="M7" s="19" t="n">
        <v>0.56</v>
      </c>
      <c r="N7" s="19" t="n">
        <v>0.558</v>
      </c>
      <c r="O7" s="19" t="n">
        <v>0.556</v>
      </c>
      <c r="P7" s="19" t="n">
        <v>0.553</v>
      </c>
      <c r="Q7" s="19" t="n">
        <v>0.552</v>
      </c>
      <c r="R7" s="19" t="n">
        <v>0.551</v>
      </c>
      <c r="S7" s="19" t="n">
        <v>0.549</v>
      </c>
      <c r="T7" s="19" t="n">
        <v>0.546</v>
      </c>
      <c r="U7" s="19" t="n">
        <v>0.544</v>
      </c>
      <c r="V7" s="19" t="n">
        <v>0.543</v>
      </c>
      <c r="W7" s="19" t="n">
        <v>0.541</v>
      </c>
      <c r="X7" s="19" t="n">
        <v>0.536</v>
      </c>
      <c r="Y7" s="19" t="n">
        <v>0.534</v>
      </c>
      <c r="Z7" s="19" t="n">
        <v>0.535</v>
      </c>
      <c r="AA7" s="19" t="n">
        <v>0.533</v>
      </c>
    </row>
    <row r="8" customFormat="false" ht="15" hidden="false" customHeight="true" outlineLevel="0" collapsed="false">
      <c r="A8" s="15" t="s">
        <v>20</v>
      </c>
      <c r="B8" s="20" t="n">
        <v>0.471</v>
      </c>
      <c r="C8" s="20" t="n">
        <v>0.473</v>
      </c>
      <c r="D8" s="20" t="n">
        <v>0.473</v>
      </c>
      <c r="E8" s="20" t="n">
        <v>0.473</v>
      </c>
      <c r="F8" s="20" t="n">
        <v>0.475</v>
      </c>
      <c r="G8" s="20" t="n">
        <v>0.476</v>
      </c>
      <c r="H8" s="20" t="n">
        <v>0.476</v>
      </c>
      <c r="I8" s="20" t="n">
        <v>0.476</v>
      </c>
      <c r="J8" s="20" t="n">
        <v>0.476</v>
      </c>
      <c r="K8" s="20" t="n">
        <v>0.476</v>
      </c>
      <c r="L8" s="20" t="n">
        <v>0.476</v>
      </c>
      <c r="M8" s="20" t="n">
        <v>0.476</v>
      </c>
      <c r="N8" s="20" t="n">
        <v>0.477</v>
      </c>
      <c r="O8" s="20" t="n">
        <v>0.478</v>
      </c>
      <c r="P8" s="20" t="n">
        <v>0.478</v>
      </c>
      <c r="Q8" s="20" t="n">
        <v>0.48</v>
      </c>
      <c r="R8" s="20" t="n">
        <v>0.482</v>
      </c>
      <c r="S8" s="20" t="n">
        <v>0.481</v>
      </c>
      <c r="T8" s="20" t="n">
        <v>0.481</v>
      </c>
      <c r="U8" s="20" t="n">
        <v>0.479</v>
      </c>
      <c r="V8" s="20" t="n">
        <v>0.479</v>
      </c>
      <c r="W8" s="20" t="n">
        <v>0.479</v>
      </c>
      <c r="X8" s="20" t="n">
        <v>0.478</v>
      </c>
      <c r="Y8" s="20" t="n">
        <v>0.478</v>
      </c>
      <c r="Z8" s="20" t="n">
        <v>0.478</v>
      </c>
      <c r="AA8" s="20" t="n">
        <v>0.479</v>
      </c>
    </row>
    <row r="9" customFormat="false" ht="15" hidden="false" customHeight="true" outlineLevel="0" collapsed="false">
      <c r="A9" s="13" t="s">
        <v>21</v>
      </c>
      <c r="B9" s="19" t="n">
        <v>0.519</v>
      </c>
      <c r="C9" s="19" t="n">
        <v>0.514</v>
      </c>
      <c r="D9" s="19" t="n">
        <v>0.508</v>
      </c>
      <c r="E9" s="19" t="n">
        <v>0.504</v>
      </c>
      <c r="F9" s="19" t="n">
        <v>0.499</v>
      </c>
      <c r="G9" s="19" t="n">
        <v>0.495</v>
      </c>
      <c r="H9" s="19" t="n">
        <v>0.491</v>
      </c>
      <c r="I9" s="19" t="n">
        <v>0.486</v>
      </c>
      <c r="J9" s="19" t="n">
        <v>0.481</v>
      </c>
      <c r="K9" s="19" t="n">
        <v>0.476</v>
      </c>
      <c r="L9" s="19" t="n">
        <v>0.472</v>
      </c>
      <c r="M9" s="19" t="n">
        <v>0.467</v>
      </c>
      <c r="N9" s="19" t="n">
        <v>0.462</v>
      </c>
      <c r="O9" s="19" t="n">
        <v>0.459</v>
      </c>
      <c r="P9" s="19" t="n">
        <v>0.455</v>
      </c>
      <c r="Q9" s="19" t="n">
        <v>0.451</v>
      </c>
      <c r="R9" s="19" t="n">
        <v>0.45</v>
      </c>
      <c r="S9" s="19" t="n">
        <v>0.445</v>
      </c>
      <c r="T9" s="19" t="n">
        <v>0.443</v>
      </c>
      <c r="U9" s="19" t="n">
        <v>0.44</v>
      </c>
      <c r="V9" s="19" t="n">
        <v>0.437</v>
      </c>
      <c r="W9" s="19" t="n">
        <v>0.433</v>
      </c>
      <c r="X9" s="19" t="n">
        <v>0.431</v>
      </c>
      <c r="Y9" s="19" t="n">
        <v>0.428</v>
      </c>
      <c r="Z9" s="19" t="n">
        <v>0.423</v>
      </c>
      <c r="AA9" s="19" t="n">
        <v>0.418</v>
      </c>
    </row>
    <row r="10" customFormat="false" ht="15" hidden="false" customHeight="true" outlineLevel="0" collapsed="false">
      <c r="A10" s="15" t="s">
        <v>22</v>
      </c>
      <c r="B10" s="20" t="n">
        <v>0.559</v>
      </c>
      <c r="C10" s="20" t="n">
        <v>0.556</v>
      </c>
      <c r="D10" s="20" t="n">
        <v>0.55</v>
      </c>
      <c r="E10" s="20" t="n">
        <v>0.547</v>
      </c>
      <c r="F10" s="20" t="n">
        <v>0.542</v>
      </c>
      <c r="G10" s="20" t="n">
        <v>0.538</v>
      </c>
      <c r="H10" s="20" t="n">
        <v>0.536</v>
      </c>
      <c r="I10" s="20" t="n">
        <v>0.531</v>
      </c>
      <c r="J10" s="20" t="n">
        <v>0.527</v>
      </c>
      <c r="K10" s="20" t="n">
        <v>0.523</v>
      </c>
      <c r="L10" s="20" t="n">
        <v>0.521</v>
      </c>
      <c r="M10" s="20" t="n">
        <v>0.519</v>
      </c>
      <c r="N10" s="20" t="n">
        <v>0.517</v>
      </c>
      <c r="O10" s="20" t="n">
        <v>0.512</v>
      </c>
      <c r="P10" s="20" t="n">
        <v>0.508</v>
      </c>
      <c r="Q10" s="20" t="n">
        <v>0.502</v>
      </c>
      <c r="R10" s="20" t="n">
        <v>0.497</v>
      </c>
      <c r="S10" s="20" t="n">
        <v>0.494</v>
      </c>
      <c r="T10" s="20" t="n">
        <v>0.488</v>
      </c>
      <c r="U10" s="20" t="n">
        <v>0.483</v>
      </c>
      <c r="V10" s="20" t="n">
        <v>0.479</v>
      </c>
      <c r="W10" s="20" t="n">
        <v>0.473</v>
      </c>
      <c r="X10" s="20" t="n">
        <v>0.47</v>
      </c>
      <c r="Y10" s="20" t="n">
        <v>0.467</v>
      </c>
      <c r="Z10" s="20" t="n">
        <v>0.465</v>
      </c>
      <c r="AA10" s="20" t="n">
        <v>0.463</v>
      </c>
    </row>
    <row r="11" customFormat="false" ht="15" hidden="false" customHeight="true" outlineLevel="0" collapsed="false">
      <c r="A11" s="13" t="s">
        <v>23</v>
      </c>
      <c r="B11" s="19" t="n">
        <v>0.517</v>
      </c>
      <c r="C11" s="19" t="n">
        <v>0.513</v>
      </c>
      <c r="D11" s="19" t="n">
        <v>0.509</v>
      </c>
      <c r="E11" s="19" t="n">
        <v>0.505</v>
      </c>
      <c r="F11" s="19" t="n">
        <v>0.5</v>
      </c>
      <c r="G11" s="19" t="n">
        <v>0.493</v>
      </c>
      <c r="H11" s="19" t="n">
        <v>0.488</v>
      </c>
      <c r="I11" s="19" t="n">
        <v>0.484</v>
      </c>
      <c r="J11" s="19" t="n">
        <v>0.48</v>
      </c>
      <c r="K11" s="19" t="n">
        <v>0.477</v>
      </c>
      <c r="L11" s="19" t="n">
        <v>0.474</v>
      </c>
      <c r="M11" s="19" t="n">
        <v>0.47</v>
      </c>
      <c r="N11" s="19" t="n">
        <v>0.464</v>
      </c>
      <c r="O11" s="19" t="n">
        <v>0.459</v>
      </c>
      <c r="P11" s="19" t="n">
        <v>0.455</v>
      </c>
      <c r="Q11" s="19" t="n">
        <v>0.452</v>
      </c>
      <c r="R11" s="19" t="n">
        <v>0.447</v>
      </c>
      <c r="S11" s="19" t="n">
        <v>0.442</v>
      </c>
      <c r="T11" s="19" t="n">
        <v>0.436</v>
      </c>
      <c r="U11" s="19" t="n">
        <v>0.43</v>
      </c>
      <c r="V11" s="19" t="n">
        <v>0.426</v>
      </c>
      <c r="W11" s="19" t="n">
        <v>0.422</v>
      </c>
      <c r="X11" s="19" t="n">
        <v>0.416</v>
      </c>
      <c r="Y11" s="19" t="n">
        <v>0.412</v>
      </c>
      <c r="Z11" s="19" t="n">
        <v>0.409</v>
      </c>
      <c r="AA11" s="19" t="n">
        <v>0.404</v>
      </c>
    </row>
    <row r="12" customFormat="false" ht="15" hidden="false" customHeight="true" outlineLevel="0" collapsed="false">
      <c r="A12" s="15" t="s">
        <v>24</v>
      </c>
      <c r="B12" s="20" t="n">
        <v>0.553</v>
      </c>
      <c r="C12" s="20" t="n">
        <v>0.549</v>
      </c>
      <c r="D12" s="20" t="n">
        <v>0.546</v>
      </c>
      <c r="E12" s="20" t="n">
        <v>0.544</v>
      </c>
      <c r="F12" s="20" t="n">
        <v>0.541</v>
      </c>
      <c r="G12" s="20" t="n">
        <v>0.538</v>
      </c>
      <c r="H12" s="20" t="n">
        <v>0.535</v>
      </c>
      <c r="I12" s="20" t="n">
        <v>0.532</v>
      </c>
      <c r="J12" s="20" t="n">
        <v>0.53</v>
      </c>
      <c r="K12" s="20" t="n">
        <v>0.527</v>
      </c>
      <c r="L12" s="20" t="n">
        <v>0.523</v>
      </c>
      <c r="M12" s="20" t="n">
        <v>0.52</v>
      </c>
      <c r="N12" s="20" t="n">
        <v>0.519</v>
      </c>
      <c r="O12" s="20" t="n">
        <v>0.518</v>
      </c>
      <c r="P12" s="20" t="n">
        <v>0.516</v>
      </c>
      <c r="Q12" s="20" t="n">
        <v>0.511</v>
      </c>
      <c r="R12" s="20" t="n">
        <v>0.51</v>
      </c>
      <c r="S12" s="20" t="n">
        <v>0.507</v>
      </c>
      <c r="T12" s="20" t="n">
        <v>0.505</v>
      </c>
      <c r="U12" s="20" t="n">
        <v>0.502</v>
      </c>
      <c r="V12" s="20" t="n">
        <v>0.5</v>
      </c>
      <c r="W12" s="20" t="n">
        <v>0.496</v>
      </c>
      <c r="X12" s="20" t="n">
        <v>0.495</v>
      </c>
      <c r="Y12" s="20" t="n">
        <v>0.494</v>
      </c>
      <c r="Z12" s="20" t="n">
        <v>0.491</v>
      </c>
      <c r="AA12" s="20" t="n">
        <v>0.488</v>
      </c>
    </row>
    <row r="13" customFormat="false" ht="15" hidden="false" customHeight="true" outlineLevel="0" collapsed="false">
      <c r="A13" s="13" t="s">
        <v>26</v>
      </c>
      <c r="B13" s="19" t="n">
        <v>0.573</v>
      </c>
      <c r="C13" s="19" t="n">
        <v>0.571</v>
      </c>
      <c r="D13" s="19" t="n">
        <v>0.568</v>
      </c>
      <c r="E13" s="19" t="n">
        <v>0.561</v>
      </c>
      <c r="F13" s="19" t="n">
        <v>0.558</v>
      </c>
      <c r="G13" s="19" t="n">
        <v>0.553</v>
      </c>
      <c r="H13" s="19" t="n">
        <v>0.55</v>
      </c>
      <c r="I13" s="19" t="n">
        <v>0.546</v>
      </c>
      <c r="J13" s="19" t="n">
        <v>0.543</v>
      </c>
      <c r="K13" s="19" t="n">
        <v>0.539</v>
      </c>
      <c r="L13" s="19" t="n">
        <v>0.535</v>
      </c>
      <c r="M13" s="19" t="n">
        <v>0.529</v>
      </c>
      <c r="N13" s="19" t="n">
        <v>0.527</v>
      </c>
      <c r="O13" s="19" t="n">
        <v>0.524</v>
      </c>
      <c r="P13" s="19" t="n">
        <v>0.523</v>
      </c>
      <c r="Q13" s="19" t="n">
        <v>0.522</v>
      </c>
      <c r="R13" s="19" t="n">
        <v>0.518</v>
      </c>
      <c r="S13" s="19" t="n">
        <v>0.513</v>
      </c>
      <c r="T13" s="19" t="n">
        <v>0.51</v>
      </c>
      <c r="U13" s="19" t="n">
        <v>0.509</v>
      </c>
      <c r="V13" s="19" t="n">
        <v>0.505</v>
      </c>
      <c r="W13" s="19" t="n">
        <v>0.504</v>
      </c>
      <c r="X13" s="19" t="n">
        <v>0.499</v>
      </c>
      <c r="Y13" s="19" t="n">
        <v>0.496</v>
      </c>
      <c r="Z13" s="19" t="n">
        <v>0.491</v>
      </c>
      <c r="AA13" s="19" t="n">
        <v>0.49</v>
      </c>
    </row>
    <row r="14" customFormat="false" ht="15" hidden="false" customHeight="true" outlineLevel="0" collapsed="false">
      <c r="A14" s="15" t="s">
        <v>27</v>
      </c>
      <c r="B14" s="20" t="n">
        <v>0.444</v>
      </c>
      <c r="C14" s="20" t="n">
        <v>0.441</v>
      </c>
      <c r="D14" s="20" t="n">
        <v>0.441</v>
      </c>
      <c r="E14" s="20" t="n">
        <v>0.439</v>
      </c>
      <c r="F14" s="20" t="n">
        <v>0.435</v>
      </c>
      <c r="G14" s="20" t="n">
        <v>0.432</v>
      </c>
      <c r="H14" s="20" t="n">
        <v>0.43</v>
      </c>
      <c r="I14" s="20" t="n">
        <v>0.428</v>
      </c>
      <c r="J14" s="20" t="n">
        <v>0.428</v>
      </c>
      <c r="K14" s="20" t="n">
        <v>0.427</v>
      </c>
      <c r="L14" s="20" t="n">
        <v>0.427</v>
      </c>
      <c r="M14" s="20" t="n">
        <v>0.424</v>
      </c>
      <c r="N14" s="20" t="n">
        <v>0.42</v>
      </c>
      <c r="O14" s="20" t="n">
        <v>0.418</v>
      </c>
      <c r="P14" s="20" t="n">
        <v>0.414</v>
      </c>
      <c r="Q14" s="20" t="n">
        <v>0.411</v>
      </c>
      <c r="R14" s="20" t="n">
        <v>0.409</v>
      </c>
      <c r="S14" s="20" t="n">
        <v>0.407</v>
      </c>
      <c r="T14" s="20" t="n">
        <v>0.405</v>
      </c>
      <c r="U14" s="20" t="n">
        <v>0.402</v>
      </c>
      <c r="V14" s="20" t="n">
        <v>0.401</v>
      </c>
      <c r="W14" s="20" t="n">
        <v>0.401</v>
      </c>
      <c r="X14" s="20" t="n">
        <v>0.4</v>
      </c>
      <c r="Y14" s="20" t="n">
        <v>0.398</v>
      </c>
      <c r="Z14" s="20" t="n">
        <v>0.394</v>
      </c>
      <c r="AA14" s="20" t="n">
        <v>0.391</v>
      </c>
    </row>
    <row r="15" customFormat="false" ht="15" hidden="false" customHeight="true" outlineLevel="0" collapsed="false">
      <c r="A15" s="13" t="s">
        <v>28</v>
      </c>
      <c r="B15" s="19" t="n">
        <v>0.519</v>
      </c>
      <c r="C15" s="19" t="n">
        <v>0.516</v>
      </c>
      <c r="D15" s="19" t="n">
        <v>0.513</v>
      </c>
      <c r="E15" s="19" t="n">
        <v>0.509</v>
      </c>
      <c r="F15" s="19" t="n">
        <v>0.507</v>
      </c>
      <c r="G15" s="19" t="n">
        <v>0.504</v>
      </c>
      <c r="H15" s="19" t="n">
        <v>0.501</v>
      </c>
      <c r="I15" s="19" t="n">
        <v>0.499</v>
      </c>
      <c r="J15" s="19" t="n">
        <v>0.496</v>
      </c>
      <c r="K15" s="19" t="n">
        <v>0.496</v>
      </c>
      <c r="L15" s="19" t="n">
        <v>0.495</v>
      </c>
      <c r="M15" s="19" t="n">
        <v>0.492</v>
      </c>
      <c r="N15" s="19" t="n">
        <v>0.489</v>
      </c>
      <c r="O15" s="19" t="n">
        <v>0.487</v>
      </c>
      <c r="P15" s="19" t="n">
        <v>0.484</v>
      </c>
      <c r="Q15" s="19" t="n">
        <v>0.483</v>
      </c>
      <c r="R15" s="19" t="n">
        <v>0.482</v>
      </c>
      <c r="S15" s="19" t="n">
        <v>0.476</v>
      </c>
      <c r="T15" s="19" t="n">
        <v>0.473</v>
      </c>
      <c r="U15" s="19" t="n">
        <v>0.471</v>
      </c>
      <c r="V15" s="19" t="n">
        <v>0.469</v>
      </c>
      <c r="W15" s="19" t="n">
        <v>0.466</v>
      </c>
      <c r="X15" s="19" t="n">
        <v>0.462</v>
      </c>
      <c r="Y15" s="19" t="n">
        <v>0.458</v>
      </c>
      <c r="Z15" s="19" t="n">
        <v>0.454</v>
      </c>
      <c r="AA15" s="19" t="n">
        <v>0.451</v>
      </c>
    </row>
    <row r="16" customFormat="false" ht="15" hidden="false" customHeight="true" outlineLevel="0" collapsed="false">
      <c r="A16" s="15" t="s">
        <v>29</v>
      </c>
      <c r="B16" s="20" t="n">
        <v>0.554</v>
      </c>
      <c r="C16" s="20" t="n">
        <v>0.552</v>
      </c>
      <c r="D16" s="20" t="n">
        <v>0.549</v>
      </c>
      <c r="E16" s="20" t="n">
        <v>0.544</v>
      </c>
      <c r="F16" s="20" t="n">
        <v>0.541</v>
      </c>
      <c r="G16" s="20" t="n">
        <v>0.537</v>
      </c>
      <c r="H16" s="20" t="n">
        <v>0.533</v>
      </c>
      <c r="I16" s="20" t="n">
        <v>0.529</v>
      </c>
      <c r="J16" s="20" t="n">
        <v>0.525</v>
      </c>
      <c r="K16" s="20" t="n">
        <v>0.524</v>
      </c>
      <c r="L16" s="20" t="n">
        <v>0.519</v>
      </c>
      <c r="M16" s="20" t="n">
        <v>0.515</v>
      </c>
      <c r="N16" s="20" t="n">
        <v>0.512</v>
      </c>
      <c r="O16" s="20" t="n">
        <v>0.508</v>
      </c>
      <c r="P16" s="20" t="n">
        <v>0.505</v>
      </c>
      <c r="Q16" s="20" t="n">
        <v>0.501</v>
      </c>
      <c r="R16" s="20" t="n">
        <v>0.496</v>
      </c>
      <c r="S16" s="20" t="n">
        <v>0.49</v>
      </c>
      <c r="T16" s="20" t="n">
        <v>0.486</v>
      </c>
      <c r="U16" s="20" t="n">
        <v>0.481</v>
      </c>
      <c r="V16" s="20" t="n">
        <v>0.478</v>
      </c>
      <c r="W16" s="20" t="n">
        <v>0.475</v>
      </c>
      <c r="X16" s="20" t="n">
        <v>0.47</v>
      </c>
      <c r="Y16" s="20" t="n">
        <v>0.467</v>
      </c>
      <c r="Z16" s="20" t="n">
        <v>0.465</v>
      </c>
      <c r="AA16" s="20" t="n">
        <v>0.461</v>
      </c>
    </row>
    <row r="17" customFormat="false" ht="15" hidden="false" customHeight="true" outlineLevel="0" collapsed="false">
      <c r="A17" s="13" t="s">
        <v>30</v>
      </c>
      <c r="B17" s="19" t="n">
        <v>0.564</v>
      </c>
      <c r="C17" s="19" t="n">
        <v>0.562</v>
      </c>
      <c r="D17" s="19" t="n">
        <v>0.558</v>
      </c>
      <c r="E17" s="19" t="n">
        <v>0.558</v>
      </c>
      <c r="F17" s="19" t="n">
        <v>0.557</v>
      </c>
      <c r="G17" s="19" t="n">
        <v>0.555</v>
      </c>
      <c r="H17" s="19" t="n">
        <v>0.554</v>
      </c>
      <c r="I17" s="19" t="n">
        <v>0.55</v>
      </c>
      <c r="J17" s="19" t="n">
        <v>0.548</v>
      </c>
      <c r="K17" s="19" t="n">
        <v>0.545</v>
      </c>
      <c r="L17" s="19" t="n">
        <v>0.542</v>
      </c>
      <c r="M17" s="19" t="n">
        <v>0.538</v>
      </c>
      <c r="N17" s="19" t="n">
        <v>0.537</v>
      </c>
      <c r="O17" s="19" t="n">
        <v>0.535</v>
      </c>
      <c r="P17" s="19" t="n">
        <v>0.531</v>
      </c>
      <c r="Q17" s="19" t="n">
        <v>0.528</v>
      </c>
      <c r="R17" s="19" t="n">
        <v>0.527</v>
      </c>
      <c r="S17" s="19" t="n">
        <v>0.526</v>
      </c>
      <c r="T17" s="19" t="n">
        <v>0.525</v>
      </c>
      <c r="U17" s="19" t="n">
        <v>0.522</v>
      </c>
      <c r="V17" s="19" t="n">
        <v>0.52</v>
      </c>
      <c r="W17" s="19" t="n">
        <v>0.517</v>
      </c>
      <c r="X17" s="19" t="n">
        <v>0.513</v>
      </c>
      <c r="Y17" s="19" t="n">
        <v>0.512</v>
      </c>
      <c r="Z17" s="19" t="n">
        <v>0.509</v>
      </c>
      <c r="AA17" s="19" t="n">
        <v>0.505</v>
      </c>
    </row>
    <row r="18" customFormat="false" ht="15" hidden="false" customHeight="true" outlineLevel="0" collapsed="false">
      <c r="A18" s="15" t="s">
        <v>32</v>
      </c>
      <c r="B18" s="20" t="n">
        <v>0.571</v>
      </c>
      <c r="C18" s="20" t="n">
        <v>0.566</v>
      </c>
      <c r="D18" s="20" t="n">
        <v>0.562</v>
      </c>
      <c r="E18" s="20" t="n">
        <v>0.556</v>
      </c>
      <c r="F18" s="20" t="n">
        <v>0.551</v>
      </c>
      <c r="G18" s="20" t="n">
        <v>0.546</v>
      </c>
      <c r="H18" s="20" t="n">
        <v>0.539</v>
      </c>
      <c r="I18" s="20" t="n">
        <v>0.532</v>
      </c>
      <c r="J18" s="20" t="n">
        <v>0.53</v>
      </c>
      <c r="K18" s="20" t="n">
        <v>0.524</v>
      </c>
      <c r="L18" s="20" t="n">
        <v>0.52</v>
      </c>
      <c r="M18" s="20" t="n">
        <v>0.517</v>
      </c>
      <c r="N18" s="20" t="n">
        <v>0.515</v>
      </c>
      <c r="O18" s="20" t="n">
        <v>0.511</v>
      </c>
      <c r="P18" s="20" t="n">
        <v>0.504</v>
      </c>
      <c r="Q18" s="20" t="n">
        <v>0.497</v>
      </c>
      <c r="R18" s="20" t="n">
        <v>0.495</v>
      </c>
      <c r="S18" s="20" t="n">
        <v>0.49</v>
      </c>
      <c r="T18" s="20" t="n">
        <v>0.486</v>
      </c>
      <c r="U18" s="20" t="n">
        <v>0.48</v>
      </c>
      <c r="V18" s="20" t="n">
        <v>0.476</v>
      </c>
      <c r="W18" s="20" t="n">
        <v>0.472</v>
      </c>
      <c r="X18" s="20" t="n">
        <v>0.467</v>
      </c>
      <c r="Y18" s="20" t="n">
        <v>0.462</v>
      </c>
      <c r="Z18" s="20" t="n">
        <v>0.458</v>
      </c>
      <c r="AA18" s="20" t="n">
        <v>0.453</v>
      </c>
    </row>
    <row r="19" customFormat="false" ht="15" hidden="false" customHeight="true" outlineLevel="0" collapsed="false">
      <c r="A19" s="13" t="s">
        <v>33</v>
      </c>
      <c r="B19" s="19" t="n">
        <v>0.549</v>
      </c>
      <c r="C19" s="19" t="n">
        <v>0.544</v>
      </c>
      <c r="D19" s="19" t="n">
        <v>0.541</v>
      </c>
      <c r="E19" s="19" t="n">
        <v>0.534</v>
      </c>
      <c r="F19" s="19" t="n">
        <v>0.529</v>
      </c>
      <c r="G19" s="19" t="n">
        <v>0.525</v>
      </c>
      <c r="H19" s="19" t="n">
        <v>0.52</v>
      </c>
      <c r="I19" s="19" t="n">
        <v>0.515</v>
      </c>
      <c r="J19" s="19" t="n">
        <v>0.508</v>
      </c>
      <c r="K19" s="19" t="n">
        <v>0.502</v>
      </c>
      <c r="L19" s="19" t="n">
        <v>0.496</v>
      </c>
      <c r="M19" s="19" t="n">
        <v>0.489</v>
      </c>
      <c r="N19" s="19" t="n">
        <v>0.486</v>
      </c>
      <c r="O19" s="19" t="n">
        <v>0.481</v>
      </c>
      <c r="P19" s="19" t="n">
        <v>0.475</v>
      </c>
      <c r="Q19" s="19" t="n">
        <v>0.472</v>
      </c>
      <c r="R19" s="19" t="n">
        <v>0.468</v>
      </c>
      <c r="S19" s="19" t="n">
        <v>0.464</v>
      </c>
      <c r="T19" s="19" t="n">
        <v>0.462</v>
      </c>
      <c r="U19" s="19" t="n">
        <v>0.459</v>
      </c>
      <c r="V19" s="19" t="n">
        <v>0.453</v>
      </c>
      <c r="W19" s="19" t="n">
        <v>0.447</v>
      </c>
      <c r="X19" s="19" t="n">
        <v>0.442</v>
      </c>
      <c r="Y19" s="19" t="n">
        <v>0.438</v>
      </c>
      <c r="Z19" s="19" t="n">
        <v>0.43</v>
      </c>
      <c r="AA19" s="19" t="n">
        <v>0.424</v>
      </c>
    </row>
    <row r="20" customFormat="false" ht="15" hidden="false" customHeight="true" outlineLevel="0" collapsed="false">
      <c r="A20" s="15" t="s">
        <v>34</v>
      </c>
      <c r="B20" s="20" t="n">
        <v>0.401</v>
      </c>
      <c r="C20" s="20" t="n">
        <v>0.404</v>
      </c>
      <c r="D20" s="20" t="n">
        <v>0.402</v>
      </c>
      <c r="E20" s="20" t="n">
        <v>0.401</v>
      </c>
      <c r="F20" s="20" t="n">
        <v>0.401</v>
      </c>
      <c r="G20" s="20" t="n">
        <v>0.401</v>
      </c>
      <c r="H20" s="20" t="n">
        <v>0.402</v>
      </c>
      <c r="I20" s="20" t="n">
        <v>0.403</v>
      </c>
      <c r="J20" s="20" t="n">
        <v>0.403</v>
      </c>
      <c r="K20" s="20" t="n">
        <v>0.402</v>
      </c>
      <c r="L20" s="20" t="n">
        <v>0.403</v>
      </c>
      <c r="M20" s="20" t="n">
        <v>0.403</v>
      </c>
      <c r="N20" s="20" t="n">
        <v>0.405</v>
      </c>
      <c r="O20" s="20" t="n">
        <v>0.404</v>
      </c>
      <c r="P20" s="20" t="n">
        <v>0.401</v>
      </c>
      <c r="Q20" s="20" t="n">
        <v>0.403</v>
      </c>
      <c r="R20" s="20" t="n">
        <v>0.403</v>
      </c>
      <c r="S20" s="20" t="n">
        <v>0.402</v>
      </c>
      <c r="T20" s="20" t="n">
        <v>0.403</v>
      </c>
      <c r="U20" s="20" t="n">
        <v>0.405</v>
      </c>
      <c r="V20" s="20" t="n">
        <v>0.405</v>
      </c>
      <c r="W20" s="20" t="n">
        <v>0.406</v>
      </c>
      <c r="X20" s="20" t="n">
        <v>0.405</v>
      </c>
      <c r="Y20" s="20" t="n">
        <v>0.404</v>
      </c>
      <c r="Z20" s="20" t="n">
        <v>0.407</v>
      </c>
      <c r="AA20" s="20" t="n">
        <v>0.407</v>
      </c>
    </row>
    <row r="21" customFormat="false" ht="15" hidden="false" customHeight="true" outlineLevel="0" collapsed="false">
      <c r="A21" s="13" t="s">
        <v>35</v>
      </c>
      <c r="B21" s="19" t="n">
        <v>0.447</v>
      </c>
      <c r="C21" s="19" t="n">
        <v>0.445</v>
      </c>
      <c r="D21" s="19" t="n">
        <v>0.443</v>
      </c>
      <c r="E21" s="19" t="n">
        <v>0.444</v>
      </c>
      <c r="F21" s="19" t="n">
        <v>0.44</v>
      </c>
      <c r="G21" s="19" t="n">
        <v>0.436</v>
      </c>
      <c r="H21" s="19" t="n">
        <v>0.433</v>
      </c>
      <c r="I21" s="19" t="n">
        <v>0.433</v>
      </c>
      <c r="J21" s="19" t="n">
        <v>0.431</v>
      </c>
      <c r="K21" s="19" t="n">
        <v>0.428</v>
      </c>
      <c r="L21" s="19" t="n">
        <v>0.426</v>
      </c>
      <c r="M21" s="19" t="n">
        <v>0.423</v>
      </c>
      <c r="N21" s="19" t="n">
        <v>0.42</v>
      </c>
      <c r="O21" s="19" t="n">
        <v>0.42</v>
      </c>
      <c r="P21" s="19" t="n">
        <v>0.419</v>
      </c>
      <c r="Q21" s="19" t="n">
        <v>0.417</v>
      </c>
      <c r="R21" s="19" t="n">
        <v>0.415</v>
      </c>
      <c r="S21" s="19" t="n">
        <v>0.413</v>
      </c>
      <c r="T21" s="19" t="n">
        <v>0.411</v>
      </c>
      <c r="U21" s="19" t="n">
        <v>0.411</v>
      </c>
      <c r="V21" s="19" t="n">
        <v>0.408</v>
      </c>
      <c r="W21" s="19" t="n">
        <v>0.406</v>
      </c>
      <c r="X21" s="19" t="n">
        <v>0.404</v>
      </c>
      <c r="Y21" s="19" t="n">
        <v>0.402</v>
      </c>
      <c r="Z21" s="19" t="n">
        <v>0.4</v>
      </c>
      <c r="AA21" s="19" t="n">
        <v>0.397</v>
      </c>
    </row>
    <row r="22" customFormat="false" ht="15" hidden="false" customHeight="true" outlineLevel="0" collapsed="false">
      <c r="A22" s="15" t="s">
        <v>36</v>
      </c>
      <c r="B22" s="20" t="n">
        <v>0.47</v>
      </c>
      <c r="C22" s="20" t="n">
        <v>0.467</v>
      </c>
      <c r="D22" s="20" t="n">
        <v>0.464</v>
      </c>
      <c r="E22" s="20" t="n">
        <v>0.461</v>
      </c>
      <c r="F22" s="20" t="n">
        <v>0.457</v>
      </c>
      <c r="G22" s="20" t="n">
        <v>0.455</v>
      </c>
      <c r="H22" s="20" t="n">
        <v>0.451</v>
      </c>
      <c r="I22" s="20" t="n">
        <v>0.448</v>
      </c>
      <c r="J22" s="20" t="n">
        <v>0.445</v>
      </c>
      <c r="K22" s="20" t="n">
        <v>0.443</v>
      </c>
      <c r="L22" s="20" t="n">
        <v>0.439</v>
      </c>
      <c r="M22" s="20" t="n">
        <v>0.435</v>
      </c>
      <c r="N22" s="20" t="n">
        <v>0.434</v>
      </c>
      <c r="O22" s="20" t="n">
        <v>0.43</v>
      </c>
      <c r="P22" s="20" t="n">
        <v>0.445</v>
      </c>
      <c r="Q22" s="20" t="n">
        <v>0.459</v>
      </c>
      <c r="R22" s="20" t="n">
        <v>0.474</v>
      </c>
      <c r="S22" s="20" t="n">
        <v>0.486</v>
      </c>
      <c r="T22" s="20" t="n">
        <v>0.5</v>
      </c>
      <c r="U22" s="20" t="n">
        <v>0.514</v>
      </c>
      <c r="V22" s="20" t="n">
        <v>0.526</v>
      </c>
      <c r="W22" s="20" t="n">
        <v>0.541</v>
      </c>
      <c r="X22" s="20" t="n">
        <v>0.557</v>
      </c>
      <c r="Y22" s="20" t="n">
        <v>0.571</v>
      </c>
      <c r="Z22" s="20" t="n">
        <v>0.585</v>
      </c>
      <c r="AA22" s="20" t="n">
        <v>0.585</v>
      </c>
    </row>
  </sheetData>
  <autoFilter ref="A2:AA22"/>
  <mergeCells count="1">
    <mergeCell ref="A1:AA1"/>
  </mergeCells>
  <conditionalFormatting sqref="B3:AA22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0"/>
    <pageSetUpPr fitToPage="tru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4"/>
  </cols>
  <sheetData>
    <row r="1" customFormat="false" ht="25.5" hidden="false" customHeight="true" outlineLevel="0" collapsed="false">
      <c r="A1" s="21" t="s">
        <v>39</v>
      </c>
      <c r="B1" s="22" t="s">
        <v>40</v>
      </c>
    </row>
    <row r="2" customFormat="false" ht="15" hidden="false" customHeight="true" outlineLevel="0" collapsed="false">
      <c r="A2" s="13" t="s">
        <v>9</v>
      </c>
      <c r="B2" s="17" t="s">
        <v>41</v>
      </c>
    </row>
    <row r="3" customFormat="false" ht="15" hidden="false" customHeight="true" outlineLevel="0" collapsed="false">
      <c r="A3" s="13" t="s">
        <v>42</v>
      </c>
      <c r="B3" s="17" t="s">
        <v>43</v>
      </c>
    </row>
    <row r="4" customFormat="false" ht="15" hidden="false" customHeight="true" outlineLevel="0" collapsed="false">
      <c r="A4" s="13" t="s">
        <v>44</v>
      </c>
      <c r="B4" s="17" t="s">
        <v>45</v>
      </c>
    </row>
    <row r="5" customFormat="false" ht="15" hidden="false" customHeight="true" outlineLevel="0" collapsed="false">
      <c r="A5" s="13" t="s">
        <v>46</v>
      </c>
      <c r="B5" s="17" t="s">
        <v>47</v>
      </c>
    </row>
    <row r="6" customFormat="false" ht="15" hidden="false" customHeight="true" outlineLevel="0" collapsed="false">
      <c r="A6" s="13" t="s">
        <v>48</v>
      </c>
      <c r="B6" s="17" t="s">
        <v>49</v>
      </c>
    </row>
    <row r="7" customFormat="false" ht="15" hidden="false" customHeight="true" outlineLevel="0" collapsed="false">
      <c r="A7" s="13" t="s">
        <v>50</v>
      </c>
      <c r="B7" s="1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2026-08-31T18:03:27Z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2026-08-31T18:32:46Z</dcterms:modified>
  <cp:revision>0</cp:revision>
  <dc:subject/>
  <dc:title>Pobreza y desigualdad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